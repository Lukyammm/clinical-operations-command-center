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INEL MODELAGENS DE PROCESSO" sheetId="1" r:id="rId4"/>
    <sheet state="visible" name=" ACOMPANHAMENTO" sheetId="2" r:id="rId5"/>
    <sheet state="visible" name="LISTA DE INDICADORES FINALÍSTIC" sheetId="3" r:id="rId6"/>
    <sheet state="visible" name="LISTA DE INDICADORES APOIOS" sheetId="4" r:id="rId7"/>
    <sheet state="visible" name="LISTA DE INDICADORES GERENCIAIS" sheetId="5" r:id="rId8"/>
  </sheets>
  <definedNames/>
  <calcPr/>
  <extLst>
    <ext uri="GoogleSheetsCustomDataVersion2">
      <go:sheetsCustomData xmlns:go="http://customooxmlschemas.google.com/" r:id="rId9" roundtripDataChecksum="42FFPi8iC4LGkO/b8xnw/S18aJ9NmcSaq4hRrQGOXKo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E120">
      <text>
        <t xml:space="preserve">Atingir meta de 30% até Maio de 2025. / Atingir meta de 60% até Agosto de 2025 / Atingir meta de 100% até Dezembro de 2025. 
======</t>
      </text>
    </comment>
    <comment authorId="0" ref="C113">
      <text>
        <t xml:space="preserve">======
ID#AAABrtfO5hs
Moniky Keuly Marcelo Rocha    (2025-10-01 18:51:09)
qual definição de conversão terapêutica?</t>
      </text>
    </comment>
    <comment authorId="0" ref="C112">
      <text>
        <t xml:space="preserve">======
ID#AAABrtfO5ho
Moniky Keuly Marcelo Rocha    (2025-10-01 18:41:52)
Perfil de demanda</t>
      </text>
    </comment>
    <comment authorId="0" ref="E108">
      <text>
        <t xml:space="preserve">======
ID#AAABrtfO5hI
Moniky Keuly Marcelo Rocha    (2025-10-01 18:31:12)
em setembro
------
ID#AAAB3xukhyg
Ana Deborah Felix da Silva    (2026-04-20 19:16:10)
a partir e março/2026</t>
      </text>
    </comment>
    <comment authorId="0" ref="C110">
      <text>
        <t xml:space="preserve">======
ID#AAABrjV40PM
Moniky Keuly Marcelo Rocha    (2025-09-26 16:30:46)
INCLUIR TX DE SUSPENSÃO DE AGENDA MÉDICA NAS ANÁLISES</t>
      </text>
    </comment>
    <comment authorId="0" ref="C111">
      <text>
        <t xml:space="preserve">======
ID#AAABrjV40Cs
Moniky Keuly Marcelo Rocha    (2025-09-26 12:40:25)
SERTRANS NÃO ENTRA E INICIARIA POR ESPECIALIDADE, POSTERIORMENTE POR PROCEDIMENTO.</t>
      </text>
    </comment>
  </commentList>
  <extLst>
    <ext uri="GoogleSheetsCustomDataVersion2">
      <go:sheetsCustomData xmlns:go="http://customooxmlschemas.google.com/" r:id="rId1" roundtripDataSignature="AMtx7miwoba/PQHmz6IOlG063bglUo84Kg=="/>
    </ext>
  </extLst>
</comments>
</file>

<file path=xl/sharedStrings.xml><?xml version="1.0" encoding="utf-8"?>
<sst xmlns="http://schemas.openxmlformats.org/spreadsheetml/2006/main" count="1299" uniqueCount="367">
  <si>
    <r>
      <rPr>
        <rFont val="Oswald"/>
        <b/>
        <color rgb="FF38761D"/>
        <sz val="30.0"/>
      </rPr>
      <t xml:space="preserve">MODELAGENS DE PROCESSO 
</t>
    </r>
    <r>
      <rPr>
        <rFont val="Oswald"/>
        <b val="0"/>
        <color rgb="FF38761D"/>
        <sz val="15.0"/>
      </rPr>
      <t>(Norma Zero)</t>
    </r>
  </si>
  <si>
    <t>SELECIONE O 
TIPO DE PROCESSO:</t>
  </si>
  <si>
    <t>ATUALIZADAS</t>
  </si>
  <si>
    <t>A ATUALIZAR</t>
  </si>
  <si>
    <t>GERENCIAL</t>
  </si>
  <si>
    <t>SETORES</t>
  </si>
  <si>
    <t>TIPO DE PROCESSO</t>
  </si>
  <si>
    <t>QUANTIDADE</t>
  </si>
  <si>
    <t>PROCESSOS</t>
  </si>
  <si>
    <t>MODELAGENS REALIZADAS</t>
  </si>
  <si>
    <r>
      <rPr>
        <rFont val="Oswald"/>
        <b/>
        <color rgb="FF38761D"/>
        <sz val="12.0"/>
      </rPr>
      <t xml:space="preserve">REVISÃO 
</t>
    </r>
    <r>
      <rPr>
        <rFont val="Oswald"/>
        <b val="0"/>
        <color rgb="FF38761D"/>
        <sz val="10.0"/>
      </rPr>
      <t>2027 (Unidade)</t>
    </r>
  </si>
  <si>
    <r>
      <rPr>
        <rFont val="Oswald"/>
        <b val="0"/>
        <color rgb="FF38761D"/>
        <sz val="12.0"/>
      </rPr>
      <t xml:space="preserve">VALIDAÇÃO </t>
    </r>
    <r>
      <rPr>
        <rFont val="Oswald"/>
        <b/>
        <color rgb="FF38761D"/>
        <sz val="12.0"/>
      </rPr>
      <t>NUGESP</t>
    </r>
  </si>
  <si>
    <r>
      <rPr>
        <rFont val="Oswald"/>
        <color rgb="FF38761D"/>
        <sz val="12.0"/>
      </rPr>
      <t xml:space="preserve">VALIDAÇÃO </t>
    </r>
    <r>
      <rPr>
        <rFont val="Oswald"/>
        <b/>
        <color rgb="FF38761D"/>
        <sz val="12.0"/>
      </rPr>
      <t>DIREÇÃO</t>
    </r>
  </si>
  <si>
    <t>PUBLICAÇÃO</t>
  </si>
  <si>
    <t xml:space="preserve">PROCESSOS FINALÍSTICO                                           </t>
  </si>
  <si>
    <t>AMBULATÓRIO</t>
  </si>
  <si>
    <t>ASSISTENCIAL</t>
  </si>
  <si>
    <t>ASSISTÊNCIA AMBULATORIAL</t>
  </si>
  <si>
    <t>SIM</t>
  </si>
  <si>
    <t>CENTRO CIRÚRGICO</t>
  </si>
  <si>
    <t>ATENDIMENTO CIRÚRGICO</t>
  </si>
  <si>
    <t>NÃO</t>
  </si>
  <si>
    <t>CLÍNICA CIRÚRGICA ONCOLÓGICA</t>
  </si>
  <si>
    <t>ASSISTÊNCIA EM CLÍNICA CIRÚRGICA ONCOLÓGICA</t>
  </si>
  <si>
    <t>CLÍNICA ONCOLÓGICA</t>
  </si>
  <si>
    <t>ASSISTÊNCIA ONCOLÓGICA</t>
  </si>
  <si>
    <t>UNIDADE DE TERAPIA INTENSIVA</t>
  </si>
  <si>
    <t>ASSISTÊNCIA EM TERAPIA INTENSIVA</t>
  </si>
  <si>
    <t>UIB</t>
  </si>
  <si>
    <t>ASSISTÊNCIA E URGÊNCIA VASCULAR E ONCOLÓGICA</t>
  </si>
  <si>
    <t>CENTRO DE INFUSÃO</t>
  </si>
  <si>
    <t>INFUSÃO DE QUIMIOTERÁPICO</t>
  </si>
  <si>
    <t>HEMATOLOGIA</t>
  </si>
  <si>
    <t>ASSISTÊNCIA EM CLÍNICA HEMATOLÓGICA</t>
  </si>
  <si>
    <t>CLÍNICA CIRÚRGICA VASCULAR</t>
  </si>
  <si>
    <t>ASSISTÊNCIA EM CLÍNICA CIRÚRGICA VASCULAR</t>
  </si>
  <si>
    <t>CLÍNICA CIRÚRGICA UROLÓGICA</t>
  </si>
  <si>
    <t>ASSISTÊNCIA EM CLÍNICA CIRÚRGICA UROLÓGICA</t>
  </si>
  <si>
    <t>CLÍNICA CIRÚRGICA CABEÇA E PESCOÇO</t>
  </si>
  <si>
    <t>ASSISTÊNCIA EM CLÍNICA CIRÚRGICA CABEÇA E PESCOÇO</t>
  </si>
  <si>
    <t>CLÍNICA CIRÚRGICA ORTOPÉDICA</t>
  </si>
  <si>
    <t>ASSISTÊNCIA EM CLÍNICA CIRÚRGICA ORTOPÉDICA</t>
  </si>
  <si>
    <t xml:space="preserve">CLÍNICA CIRÚRGICA GERAL </t>
  </si>
  <si>
    <t>ASSISTÊNCIA EM CLÍNICA CIRÚRGICA GERAL</t>
  </si>
  <si>
    <t xml:space="preserve">CLÍNICA CIRPURGICA DIGESTIVA </t>
  </si>
  <si>
    <t xml:space="preserve">ASSISTÊCIA EM CLPINICA CIRÚRGICA DIGESTIVA </t>
  </si>
  <si>
    <t>CENTRO DE PARTO NORMAL</t>
  </si>
  <si>
    <t>ASSISTÊNCIA OBSTÉTRICA</t>
  </si>
  <si>
    <t xml:space="preserve">UNIDAE DE INTERNAÇÃO BREVE OBSTÉTRICA </t>
  </si>
  <si>
    <t>CENTRO CIRÚRGICO OBSTÉTRICO</t>
  </si>
  <si>
    <t xml:space="preserve">CLÍNICA OBSTETRÍCA </t>
  </si>
  <si>
    <t xml:space="preserve">ALOJAMENTO CONJUNTO </t>
  </si>
  <si>
    <t>CLÍNICA CIRÚRGICA GINECOLOGICA</t>
  </si>
  <si>
    <t xml:space="preserve">ASSISTÊNCIA GINECOLOGICA </t>
  </si>
  <si>
    <t xml:space="preserve">UNIDADE DE TERAPIA INTENSIVA NEONATAL </t>
  </si>
  <si>
    <t xml:space="preserve">ASSISTÊNCIA NEONATAL </t>
  </si>
  <si>
    <t xml:space="preserve">UNIDADE DE CUIDADOS INTERMEDIÁRIOS NEONATAL </t>
  </si>
  <si>
    <t>UNIDADE DE CUIDADOS INTERMEDIÁRIOS NEONTAL CANGURU</t>
  </si>
  <si>
    <t xml:space="preserve">UNIDADE DE TERAPIA INTENSIVA PEDIÁTRICA </t>
  </si>
  <si>
    <t xml:space="preserve">ASSISTÊNCIA PEDIÁTRICA </t>
  </si>
  <si>
    <t>HEMODINÂMICA</t>
  </si>
  <si>
    <t>ASSISTÊNCIA  HEMODINÂMICA EM CIRURGIA VASCULAR</t>
  </si>
  <si>
    <t>DEPIS</t>
  </si>
  <si>
    <t>ENSINO E PESQUISA - EDUCAÇÃO PERMANENTE EM SAÚDE</t>
  </si>
  <si>
    <t xml:space="preserve">PROCESSOS DE APOIO						</t>
  </si>
  <si>
    <t>CENTRO DE IMAGEM</t>
  </si>
  <si>
    <t>APOIO</t>
  </si>
  <si>
    <t>MÉTODOS ENDOSCÓPICOS E VIDEOSCÓPICOS</t>
  </si>
  <si>
    <t>DIAGNÓSTICO POR IMAGEM</t>
  </si>
  <si>
    <t>PATRIMÔNIO</t>
  </si>
  <si>
    <t>LABORATÓRIO</t>
  </si>
  <si>
    <t>ANÁLISES CLÍNICAS</t>
  </si>
  <si>
    <t>AGÊNCIA TRANSFUSIONAL</t>
  </si>
  <si>
    <t>ASSISTÊNCIA HEMOTERÁPICA</t>
  </si>
  <si>
    <t>CME</t>
  </si>
  <si>
    <t>PROCESSAMENTO DE  PRODUTOS PARA A SAÚDE</t>
  </si>
  <si>
    <t>NAC</t>
  </si>
  <si>
    <t>GESTÃO DO ACESSO</t>
  </si>
  <si>
    <t>FATURAMENTO E ARQUIVAMENTO DE PRONTUÁRIOS</t>
  </si>
  <si>
    <t xml:space="preserve">BANCO DE LEITE HUMANO </t>
  </si>
  <si>
    <t xml:space="preserve">NUTRIÇÃO NEONATAL </t>
  </si>
  <si>
    <t>NUTRIÇÃO</t>
  </si>
  <si>
    <t>NUTRIÇÃO E DIETÉTICA</t>
  </si>
  <si>
    <t>FARMÁCIA</t>
  </si>
  <si>
    <t>ABASTECIMENTO FARMACÊUTICO</t>
  </si>
  <si>
    <t>MANUTENÇÃO</t>
  </si>
  <si>
    <t>GESTÃO DA INFRAESTRUTURA</t>
  </si>
  <si>
    <t>ENGENHARIA CLÍNICA</t>
  </si>
  <si>
    <t>GESTÃO DE EQUIPAMENTOS E TECNOLOGIA MÉDICO-HOSPITALAR</t>
  </si>
  <si>
    <t>NTI</t>
  </si>
  <si>
    <t>TECNOLOGIA DA INFORMAÇÃO</t>
  </si>
  <si>
    <t>HOTELARIA</t>
  </si>
  <si>
    <t>HIGIENIZAÇÃO</t>
  </si>
  <si>
    <t>ROUPARIA</t>
  </si>
  <si>
    <t>SUPRIMENTOS</t>
  </si>
  <si>
    <t>GESTÃO DE SUPRIMENTOS</t>
  </si>
  <si>
    <t>PROCESSOS GERENCIAIS</t>
  </si>
  <si>
    <t>NUGESP</t>
  </si>
  <si>
    <t>GESTÃO DA QUALIDADE E SEGURANÇA DO PACIENTE</t>
  </si>
  <si>
    <t>SESMT</t>
  </si>
  <si>
    <t>SAÚDE E SEGURANÇA DO TRABALHADOR</t>
  </si>
  <si>
    <t>SCIH</t>
  </si>
  <si>
    <t>PREVENÇÃO E CONTROLE DAS INFECÇÕES HOSPITALARES</t>
  </si>
  <si>
    <t>EPIDEMIOLOGIA</t>
  </si>
  <si>
    <t>VIGILÂNCIA EPIDEMIOLÓGICA</t>
  </si>
  <si>
    <t>OUVIDORIA</t>
  </si>
  <si>
    <t>SATISFAÇÃO E EXPERIÊNCIA DO USUÁRIO</t>
  </si>
  <si>
    <t>NAF</t>
  </si>
  <si>
    <t>GESTÃO ADMINISTRATIVA E FINANCEIRA</t>
  </si>
  <si>
    <t>DHO</t>
  </si>
  <si>
    <t>GESTÃO DE PESSOAS</t>
  </si>
  <si>
    <t>SERVIÇO SOCIAL</t>
  </si>
  <si>
    <t>ASSISTÊNCIA SOCIAL</t>
  </si>
  <si>
    <t>TOTAL</t>
  </si>
  <si>
    <t>REALIZADAS</t>
  </si>
  <si>
    <t>A REALIZAR</t>
  </si>
  <si>
    <t>Gerenciamento de Processos - HUC</t>
  </si>
  <si>
    <t>Unidades Assistenciais</t>
  </si>
  <si>
    <t>Datas</t>
  </si>
  <si>
    <t>Status agendamento</t>
  </si>
  <si>
    <t>Introdução</t>
  </si>
  <si>
    <t>Perfil</t>
  </si>
  <si>
    <t>Fluxo do processo</t>
  </si>
  <si>
    <t>Modelagem</t>
  </si>
  <si>
    <t>Indicadores</t>
  </si>
  <si>
    <t>Ficha técnica dos indicadores</t>
  </si>
  <si>
    <t>Reagendado pelo Gestor</t>
  </si>
  <si>
    <t>Concluída</t>
  </si>
  <si>
    <t>Em andamento pela Epidemio</t>
  </si>
  <si>
    <t>Não iniciada</t>
  </si>
  <si>
    <t>Em andamento</t>
  </si>
  <si>
    <t>UTI</t>
  </si>
  <si>
    <t>Realizada</t>
  </si>
  <si>
    <t>CC</t>
  </si>
  <si>
    <t>CIR. ONCOLÓGICA</t>
  </si>
  <si>
    <t>Reagendado Nugesp</t>
  </si>
  <si>
    <t>ONCOLOGIA CLÍNICA</t>
  </si>
  <si>
    <t>HEMATO</t>
  </si>
  <si>
    <t>VASCULAR</t>
  </si>
  <si>
    <t>UROLOGIA</t>
  </si>
  <si>
    <t>CABEÇA E PESCOÇO</t>
  </si>
  <si>
    <t>ORTOPEDIA</t>
  </si>
  <si>
    <t>Não agendado</t>
  </si>
  <si>
    <t>Não agendada</t>
  </si>
  <si>
    <t>Unidades Apoio</t>
  </si>
  <si>
    <t>Data</t>
  </si>
  <si>
    <t>FARMÁCIA/CAF</t>
  </si>
  <si>
    <t>TI</t>
  </si>
  <si>
    <t>NIR</t>
  </si>
  <si>
    <t>Validação Nugesp</t>
  </si>
  <si>
    <t>Validação direção</t>
  </si>
  <si>
    <t>BANCO DE LEITE HUMANO</t>
  </si>
  <si>
    <t>AGENCIA TRANSFUSIONAL</t>
  </si>
  <si>
    <t>Unidades Gerenciais</t>
  </si>
  <si>
    <t>DEPIS- EDUCAÇÃO PERMANENTE</t>
  </si>
  <si>
    <t>PROCESSOS FINALÍSTICO</t>
  </si>
  <si>
    <t>RESULTADO</t>
  </si>
  <si>
    <t>NOME DO INDICADORES</t>
  </si>
  <si>
    <t xml:space="preserve">TIPO DE INDICADOR </t>
  </si>
  <si>
    <t>META</t>
  </si>
  <si>
    <t>ju./26</t>
  </si>
  <si>
    <t>ASSISTÊNCIA EM TERAPIA INTENSIVA - UTI</t>
  </si>
  <si>
    <t>Paciente recuperado de sua morbidade com alta em tempo oportuno, sem agravos por eventos adversos em  uma ambiente seguro e humanizado</t>
  </si>
  <si>
    <t>Taxa de ocupação</t>
  </si>
  <si>
    <t>CONTRATUAL</t>
  </si>
  <si>
    <t>&gt;=85%</t>
  </si>
  <si>
    <t xml:space="preserve">Tempo médio de permanência </t>
  </si>
  <si>
    <t>&lt;=7</t>
  </si>
  <si>
    <t>Densidade de Incidência de Infecção hospitalar</t>
  </si>
  <si>
    <t>ESTRATÉGICO</t>
  </si>
  <si>
    <t>Taxa de satisfação do usuário (NPS)</t>
  </si>
  <si>
    <t>&gt;=90%</t>
  </si>
  <si>
    <t>Taxa de mortalidade institucional</t>
  </si>
  <si>
    <t>Taxa de conformidade à caminhada de segurança</t>
  </si>
  <si>
    <t>&gt;=80%</t>
  </si>
  <si>
    <t>Incidência de LP</t>
  </si>
  <si>
    <t>PROCESSO</t>
  </si>
  <si>
    <t>à definir</t>
  </si>
  <si>
    <t>Taxa de queda</t>
  </si>
  <si>
    <t>Realizar tomada de decisão do paciente cirúrgico vascular e de oncohematológico em tempo oportuno e livre de eventos adversos.</t>
  </si>
  <si>
    <t xml:space="preserve">Tempo médio de de permanência </t>
  </si>
  <si>
    <t>Taxa de conformidade ao tempo de tomada de decisão</t>
  </si>
  <si>
    <t>&gt; 80%</t>
  </si>
  <si>
    <t>Procedimentos cirúrgicos com segurança, qualidade e em tempo hábil.</t>
  </si>
  <si>
    <t>Taxa de supensão cirúrgica</t>
  </si>
  <si>
    <t>&lt;=3%</t>
  </si>
  <si>
    <t>Taxa de utilização de salas cirúrgicas eletivas</t>
  </si>
  <si>
    <t>Taxa de conformidade ao protocolo de cirurgia segura</t>
  </si>
  <si>
    <t>Taxa de infecção em cirurgia limpa</t>
  </si>
  <si>
    <t xml:space="preserve">Taxa de infecção de sítio cirúrgico </t>
  </si>
  <si>
    <t>Assegurar o tratamento oncológico conforme a proposta terapêutica, baseado nas metas de segurança do paciente, coordenado o cuidado de forma eficaz, eficiente, humanizada, dentro do prazo e com o foco no paciente no centro do cuidado.</t>
  </si>
  <si>
    <t>Número de tratamentos oncológicos (QUIMIOTERAPIA)</t>
  </si>
  <si>
    <t>Taxa de absenteísmo</t>
  </si>
  <si>
    <t>Taxa de infecção de cateter (PORT A CATH E PICC)</t>
  </si>
  <si>
    <t>Taxa de perda de bolsa de quimioterapia</t>
  </si>
  <si>
    <t>CIRURGIA ONCOLÓGICA</t>
  </si>
  <si>
    <t xml:space="preserve"> REALIZAR UMA ASSISTÊNCIA SEGURA, COM SAÍDA EM TEMPO OPORTUNO E COM EXPERIÊNCIA SATISFATÓRIA DO USUÁRIO DURANTE O INTERNAMENTO. </t>
  </si>
  <si>
    <t>Tempo médio de permanência</t>
  </si>
  <si>
    <t>&gt;=10 dias</t>
  </si>
  <si>
    <t>Taxa de reinternação em até 30 dias de alta hospitalar</t>
  </si>
  <si>
    <t>à definir (acompanhar série histórica por 6 meses)</t>
  </si>
  <si>
    <t>&lt;=2%</t>
  </si>
  <si>
    <t xml:space="preserve">Realizar um assistência segura, com saída em tempo oportuno e com experiência satisfatória do usuário durante o internamento. 
 </t>
  </si>
  <si>
    <t>Tempo de permanência</t>
  </si>
  <si>
    <t>Taxa de Conformidade caminhada de segurança</t>
  </si>
  <si>
    <t>Taxa de transferência para a UTI (NÃO PROGRAMADA)</t>
  </si>
  <si>
    <t xml:space="preserve">Realizar uma assistência segura, com saída em tempo oportuno e com experiência satisfatória do usuário durante o internamento. 
</t>
  </si>
  <si>
    <t xml:space="preserve">Tax de conformidade á caminhada de segurança do paciente </t>
  </si>
  <si>
    <t>Taxa de neutropenia febril</t>
  </si>
  <si>
    <t>Saída melhorada em tempo oportuno e livre de eventos adversos.</t>
  </si>
  <si>
    <t>Tempo de Médio de Permanência</t>
  </si>
  <si>
    <t>&lt; = 10 dias</t>
  </si>
  <si>
    <t>Taxa de Ocupação</t>
  </si>
  <si>
    <t>&gt; = 85%</t>
  </si>
  <si>
    <t>Taxa de membro salvo (SUSSESSO TRATAMENTO)</t>
  </si>
  <si>
    <t>Taxa de Suspensão cirúrgica</t>
  </si>
  <si>
    <t>Taxa de Médio de Permanência</t>
  </si>
  <si>
    <t>Taxa de conformidade da Caminhada da Segurança</t>
  </si>
  <si>
    <t>Taxa de deteriorioração com necessidade de UTI ou com evolução a óbito</t>
  </si>
  <si>
    <t xml:space="preserve">à definir </t>
  </si>
  <si>
    <t>Taxa de efetividade do protocolo sepse</t>
  </si>
  <si>
    <t>Taxa de efetividade na prevenção de choque séptico</t>
  </si>
  <si>
    <t>Índice de Broncoaspiração</t>
  </si>
  <si>
    <t>&lt;= 10 dias</t>
  </si>
  <si>
    <t>Taxa de conformidade da caminhada de segurança</t>
  </si>
  <si>
    <t>Garantir acesso ao atendimento especializado, em tempo oportuno, com qualidade e segurança.</t>
  </si>
  <si>
    <t xml:space="preserve">Número de consultas médicas </t>
  </si>
  <si>
    <t xml:space="preserve">Realizar 7901 atendimentos ambulatoriais </t>
  </si>
  <si>
    <t>Tempo médio de atendimento</t>
  </si>
  <si>
    <t>Taxa de conformidade à alta ambulatorial</t>
  </si>
  <si>
    <t>Número de exames</t>
  </si>
  <si>
    <t>CONTROLE</t>
  </si>
  <si>
    <t xml:space="preserve">Não possui.                                </t>
  </si>
  <si>
    <t>TAXA DE CONVERSÃO TERAPEUTICA</t>
  </si>
  <si>
    <t>-</t>
  </si>
  <si>
    <t>Tempo de atendimento á solicitação de exames/procedimentos</t>
  </si>
  <si>
    <t>Taxa de supensão de exames/procedimentos por causas evitáveis</t>
  </si>
  <si>
    <t xml:space="preserve">&lt;=3%                                </t>
  </si>
  <si>
    <t>Taxa de eventos adversos (SANGRAMENTO E HEMATOMA)</t>
  </si>
  <si>
    <t>Taxa de reabordagem de urgência</t>
  </si>
  <si>
    <t xml:space="preserve">Taxa de nefropatia induzida ao contraste </t>
  </si>
  <si>
    <t xml:space="preserve">Promoção de treinamentos com método de ensino e aprendizado ativo e participativo baseados na estartégia organizacional e regulamentações em saúde. 
</t>
  </si>
  <si>
    <t>Taxa de adesão geral dos treinamentos estratégicos</t>
  </si>
  <si>
    <t>Deverá ser consultada no mapa estratégico de cada unidade.</t>
  </si>
  <si>
    <t>Taxa de adesão geral de treinamentos regulamentados</t>
  </si>
  <si>
    <t>Atingir meta de 100%.</t>
  </si>
  <si>
    <t>Taxa de avaliação de aprendizagem</t>
  </si>
  <si>
    <t xml:space="preserve">Atingir 70% de colaboradores com acertos da avaliação de aprendizagem maior ou igual a 7,0.				</t>
  </si>
  <si>
    <t>Taxa de adesão à avaliação de reação</t>
  </si>
  <si>
    <t>Atingir aplicação em 95% dos treinamentos realizados.</t>
  </si>
  <si>
    <t>Taxa de treinamentos realizados por modalidade</t>
  </si>
  <si>
    <t>PROCESSOS DE APOIO</t>
  </si>
  <si>
    <t>DISPONIBILIZAR EM TEMPO OPORTUNO INSUMOS NECESSÁRIOS AO PACIENTE COM QUALIDADE E SEGURANÇA.</t>
  </si>
  <si>
    <t>PGA</t>
  </si>
  <si>
    <t>CONFORMIDADE NO ABASTECIMENTO</t>
  </si>
  <si>
    <t>PERDAS</t>
  </si>
  <si>
    <t>TAXA DE ANÁLISE DE PRESCRIÇÕES</t>
  </si>
  <si>
    <t>TAXA DE CONFORMIDADE NA SEPARAÇÃO E DISPENSAÇÃO</t>
  </si>
  <si>
    <t xml:space="preserve"> PROVER EQUIPAMENTOS BIOMÉDICOS SEGUROS, DE MODO EFETIVO, NO TEMPO OPORTUNO
</t>
  </si>
  <si>
    <t>TAXA DE CONFORMIDADE DE MANUTENÇÃO PREVENTIVA EM EQUIPAMENTOS NO PRAZO</t>
  </si>
  <si>
    <t>TAXA DE ATENDIMENTO A CHAMADOS DE MANUT. CORRETIVA EM EQUIPAMENTOS NO PERÍODO</t>
  </si>
  <si>
    <t>PERCENTUAL DE CHAMADOS CRÍTICOS ATENDIDOS NO PRAZO</t>
  </si>
  <si>
    <t>ÍNDICE DE DESEMPENHO ORÇAMENTÁRIO - IDO - ENG. CLÍNICA</t>
  </si>
  <si>
    <t>=100%</t>
  </si>
  <si>
    <t>TAXA DE DISPONBILIDADE DE EQUIPAMENTOS ESTRATÉGICOS</t>
  </si>
  <si>
    <t>ENTREGAR RESULTADOS DE EXAMES COM QUALIDADE E NO PRAZO ACORDADO E COM PRIORIDADE PARA PROTOCOLO SEPSE E EXAME DE URGENCIA.</t>
  </si>
  <si>
    <t>TAXA DE CONFORMIDADE DO TEMPO DE ATENDIMENTO TOTAL - T.A.T</t>
  </si>
  <si>
    <t>CONFORMIDADE DE EXAMES URGENTES</t>
  </si>
  <si>
    <t xml:space="preserve">INDICE DE RECOLETAS                        </t>
  </si>
  <si>
    <t>HOTELARIA - RESÍDUOS</t>
  </si>
  <si>
    <t>COLETA E DESTINAÇÃO FINAL DE RESÍDUOS DE FORMA SEGURA, EFICIENTE E COM RESPONSABILIDADE AMBIENTAL.</t>
  </si>
  <si>
    <t>Tempo de Armazenamento de Resíduos</t>
  </si>
  <si>
    <t>Incidência de Acidentes Relacionados a Resíduos</t>
  </si>
  <si>
    <t>HOTELARIA - HIGIENIZAÇÃO</t>
  </si>
  <si>
    <t xml:space="preserve">REALIZAR A LIMPEZA E A DESINFECÇÃO DE SUPERFÍCIES, NO TEMPO OPORTUNO, DE FORMA SEGURA E  EFICIENTE, PROMOVENDO A SATISFAÇÃO DOS CLIENTES. </t>
  </si>
  <si>
    <t>Tempo médio de higienização por ambiente</t>
  </si>
  <si>
    <t>Satisfação do cliente/paciente</t>
  </si>
  <si>
    <t>Absenteísmo da equipe de hotelaria</t>
  </si>
  <si>
    <t>HOTELARIA - ROUPARIA</t>
  </si>
  <si>
    <t>PROVER ENXOVAL HOSPITALAR EM CONDIÇÕES ADEQUADAS DE USO, NA QUANTIDADE NECESSÁRIA, E NO TEMPO OPORTUNO.</t>
  </si>
  <si>
    <t>Tempo de processamento da roupa</t>
  </si>
  <si>
    <t>Taxa de atendimento das solicitações de rouparia no prazo</t>
  </si>
  <si>
    <t>Taxa de Rejeição de Roupas</t>
  </si>
  <si>
    <t>Indice de enxoval paciente dia</t>
  </si>
  <si>
    <t>GESTÃO ADMINISTRATIVO E FINANCEIRO</t>
  </si>
  <si>
    <t>ALMOXARIFADO/ BMS</t>
  </si>
  <si>
    <t xml:space="preserve"> PROVER RECURSOS DE TECNOLOGIA SEGUROS, DE MODO EFETIVO, NO TEMPO OPORTUNO</t>
  </si>
  <si>
    <t>REALIZAÇÃO DE EXAMES DE IMAGEM COM SEGURANÇA, QUALIDADE E ENTREGA EM TEMPO PACTUADO.</t>
  </si>
  <si>
    <t xml:space="preserve">NÚMERO DE EXAMES </t>
  </si>
  <si>
    <t>MEDIANA</t>
  </si>
  <si>
    <t>NÚMERO DE INTERVENÇÕES</t>
  </si>
  <si>
    <t>SUSPENSÃO DE EXAMES POR CAUSAS EVITÁVEIS</t>
  </si>
  <si>
    <t>MENOR POSSÍVEL&lt;3%</t>
  </si>
  <si>
    <t>CONFORMIDADE NA ENTREGA DOS LAUDOS</t>
  </si>
  <si>
    <t>Nº DE EVENTOS DE EXTRAVAZAMENTO DE CONTRASTE</t>
  </si>
  <si>
    <t>RETIFICAÇÃO DE LAUDOS</t>
  </si>
  <si>
    <t>RECONVOCAÇÃO PARA EXAME</t>
  </si>
  <si>
    <t xml:space="preserve">MENOR POSSÍVEL&lt;3%				</t>
  </si>
  <si>
    <t>TAXA CONFORMIDADE DA CAMINHADA DE SEGURANÇA</t>
  </si>
  <si>
    <t>&gt; 50 %</t>
  </si>
  <si>
    <t>TAXA DE NEFROPATIA INDUZIDA POR CONTRASTE</t>
  </si>
  <si>
    <t xml:space="preserve"> FONECER OS PRODUTOS PARA A SAÚDE, COM SEGURANÇA E QUALIDADE NA QUANTIDADE PACTUADA </t>
  </si>
  <si>
    <t>TAXA DE SUSPENSÃO DE CIRURGIA POR FALTA DE MATERIAL DISPONÍVEL</t>
  </si>
  <si>
    <t xml:space="preserve">TAXA DE FALHAS NOS TESTES DE PROTEÍNA DE SUPERFÍCIE </t>
  </si>
  <si>
    <t>TAXA DE DESPERDÍCIO DO PROCESSO DOS PPS</t>
  </si>
  <si>
    <t>CUSTO</t>
  </si>
  <si>
    <t>NAC - GESTÃO DO ACESSO</t>
  </si>
  <si>
    <t xml:space="preserve">
Garantir o acesso  conforme o mapeamento das vagas e o perfil da unidade contribuindo para a saída segura e no tempo oportuno dos pacientes. </t>
  </si>
  <si>
    <t>Número de Hemodiálise mês</t>
  </si>
  <si>
    <t>Número de procedimentos cirúrgicos</t>
  </si>
  <si>
    <t>Número de pacientes novos ambulatoriais</t>
  </si>
  <si>
    <t>Taxa de conformidade de Segurança e qualidade</t>
  </si>
  <si>
    <t>Taxa de permanância</t>
  </si>
  <si>
    <t>Taxa de suspensão cirúrgica</t>
  </si>
  <si>
    <t>Taxa de prontuários faturados no mês</t>
  </si>
  <si>
    <t>NAC - FATURAMENTO</t>
  </si>
  <si>
    <t>Garantir a montagem, validação, faturamento e disponibilização dos prontuários em tempo hábil e com consistência, assegurando a integridade das informações .</t>
  </si>
  <si>
    <t>NAC - NIR</t>
  </si>
  <si>
    <t>PRESTAR ASSISTENCIA NUTRICIONAL INDIVIDUALIZADA, SEGURA E DE QUALIDADE, GARANTINDO A MANUTENÇÃO E / OU RECUPERAÇÃO DO ESTADO NUTRICIONAL DO PACIENTE, ASSIM COMO O CONFORTO NA PALIAÇÃO</t>
  </si>
  <si>
    <t>AMOSTRAS DE DIETAS SATISFATÓRIAS</t>
  </si>
  <si>
    <t>ALCANCE DA META CALÓRICA EM 72H - UTI</t>
  </si>
  <si>
    <t>SATISFAÇÃO DO PACIENTE</t>
  </si>
  <si>
    <t>SATISFAÇÃO DO FUNCIONÁRIO</t>
  </si>
  <si>
    <t>PERFIL DE DESFECHO NUTRICIONAL SATISFATÓRIO</t>
  </si>
  <si>
    <t>TAXA DE CONFORMIDADE DE TEMPO DE REALIZAÇÃO DA TRIAGEM DE RISCO NUTRICIONAL</t>
  </si>
  <si>
    <t xml:space="preserve"> FORNECER E GERENCIAR O USO DO HEMOCOMPONENTE DE FORMA SEGURA E EM TEMPO ADEQUADO.</t>
  </si>
  <si>
    <t>TAXAS DE CONFORMIDADE DE TRANSFUSÕES NOTURNAS</t>
  </si>
  <si>
    <t xml:space="preserve"> ≤ 30%</t>
  </si>
  <si>
    <t xml:space="preserve">TAXA DE REAÇÃO TRANSFUSIONAIS </t>
  </si>
  <si>
    <t>1% ≤ Valor mensal ≤ 10%</t>
  </si>
  <si>
    <t xml:space="preserve">TAXA DE CONFORMIDADE AO PROTOCOLO DE RESERVA CIRURGICA </t>
  </si>
  <si>
    <t>10% ≤ Valor mensal ≤ 30%</t>
  </si>
  <si>
    <t>TAXA DE CONFORMIDADE DA SOLICITAÇÃO DE 2 OU MAIS CONCENTRADOS</t>
  </si>
  <si>
    <t xml:space="preserve">Valor mensal ≤ 10%
</t>
  </si>
  <si>
    <t>TAXA DE CONFORMIDADE DA TRANSFUSÕES DE CONCENTRADOS DE HEMÁCIAS (CH) NO PACIENTE COM HB MAIOR OU IGUAL 7G POR DL</t>
  </si>
  <si>
    <t>Valor mensal ≤ 15%</t>
  </si>
  <si>
    <t xml:space="preserve">TAXA DE CONFORMIDADE DO TEMPO DE ENTREGA DO HEMOCOMPONENTE </t>
  </si>
  <si>
    <t>TAXA DE CONFORMIDADE ACOMPANHAMENTO TRANSFUSIONAL</t>
  </si>
  <si>
    <t>Monitoramento e controle da incidência de IRAS e infecção de sítio cirúrgico, visando a redução, ao máximo possível, de infecções hospitalares junto aos serviços asssistenciais.</t>
  </si>
  <si>
    <t>Taxa de Infecção de Sítio Cirurgico em Cirurgia Limpa (total)</t>
  </si>
  <si>
    <t>MANTER TAXA DE ISC EM ATÉ 3%</t>
  </si>
  <si>
    <t>Taxa de ISC em cirurgias potencialmente contaminadas</t>
  </si>
  <si>
    <t xml:space="preserve">Taxa de ISC em transplantes  </t>
  </si>
  <si>
    <t>Densidade de IRAS</t>
  </si>
  <si>
    <t>MANTER DENSIDADE DE IRAS EM ATÉ 4</t>
  </si>
  <si>
    <t>Densidade de IPCS (unidade de vigilância ativa)</t>
  </si>
  <si>
    <t xml:space="preserve"> </t>
  </si>
  <si>
    <t>Densidade de ITU  (unidade de vigilância ativa)</t>
  </si>
  <si>
    <t>Densidade de PAV  (unidade de vigilância ativa)</t>
  </si>
  <si>
    <t>CONSUMO DE PREPARAÇÕES ALCOLICAS PARA HIGIENIZAÇÃO DAS MÃOS</t>
  </si>
  <si>
    <t>Dose diária de antimicrobianos em UTI</t>
  </si>
  <si>
    <t>TAXA DE ADESÃO A HIGIENIZAÇÃO DAS MÃOS ATRAVES DE OBSERVAÇÃO DIRETA</t>
  </si>
  <si>
    <t>Número de ISC não notificadas via ambulatorial</t>
  </si>
  <si>
    <t xml:space="preserve"> Atuar como facilitador da comunicação entre a gestão e o cidadão, garantindo o acolhimento das manifestações através de escuta ativa e acolhedora, com respostas qualificadas, resolutivas e dentro dos prazos legais, gerando dados confiáveis que subsidiem a gestão nas tomadas de decisões, promovendo melhoria contínua do serviço e fortalecendo a participação social.</t>
  </si>
  <si>
    <t>Taxa de Resolubilidade</t>
  </si>
  <si>
    <t>Taxa de Satisfação do usuário</t>
  </si>
  <si>
    <t>SESMT - SAÚDE DO COLABORADOR - ATESTADOS</t>
  </si>
  <si>
    <t>GESTÃO DAS CONDIÇÕES DE SAÚDE DOS COLABORADORES</t>
  </si>
  <si>
    <t>SESMT - SAÚDE DO COLABORADOR - ACIDENTE DE TRABALHO</t>
  </si>
  <si>
    <t>ACIDENTES DE TRABALHO INVESTIGADOS COM AÇÕES CORRETIVAS E PREVENTIVAS IMPLEMENTADAS</t>
  </si>
  <si>
    <t>SESMT - INSPEÇÕES</t>
  </si>
  <si>
    <t>AMBIENTE DE TRABALHO MONITORADO E RISCOS OCUPACIONAIS CONTROLADO</t>
  </si>
  <si>
    <t>Satisfação dos usuários</t>
  </si>
  <si>
    <t>Taxa de aplicação da avaliação social</t>
  </si>
  <si>
    <t>Taxa de efetividade de diretios asssitenciais (insumos)</t>
  </si>
  <si>
    <t>Taxa de acompanhamento dos pacientes em longa permanência</t>
  </si>
  <si>
    <t>Taxa de efetivação de direito social (documentos, previdência, etc...)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</si>
</sst>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"/>
    <numFmt numFmtId="165" formatCode="dd/MM/yyyy"/>
    <numFmt numFmtId="166" formatCode="dd/mm/yyyy"/>
    <numFmt numFmtId="167" formatCode="mmm/d"/>
  </numFmts>
  <fonts count="46">
    <font>
      <sz val="10.0"/>
      <color rgb="FF000000"/>
      <name val="Arial"/>
      <scheme val="minor"/>
    </font>
    <font>
      <b/>
      <sz val="30.0"/>
      <color rgb="FF073763"/>
      <name val="Oswald"/>
    </font>
    <font>
      <b/>
      <sz val="11.0"/>
      <color rgb="FF38761D"/>
      <name val="Oswald"/>
    </font>
    <font>
      <b/>
      <color rgb="FFE06666"/>
      <name val="Docs-Oswald"/>
    </font>
    <font>
      <color theme="1"/>
      <name val="Arial"/>
      <scheme val="minor"/>
    </font>
    <font>
      <b/>
      <sz val="38.0"/>
      <color rgb="FF38761D"/>
      <name val="Oswald"/>
    </font>
    <font>
      <b/>
      <sz val="38.0"/>
      <color rgb="FFE06666"/>
      <name val="Oswald"/>
    </font>
    <font>
      <b/>
      <color rgb="FF38761D"/>
      <name val="Oswald"/>
    </font>
    <font>
      <b/>
      <sz val="14.0"/>
      <color rgb="FF38761D"/>
      <name val="Oswald"/>
    </font>
    <font>
      <b/>
      <sz val="12.0"/>
      <color rgb="FF38761D"/>
      <name val="Oswald"/>
    </font>
    <font>
      <sz val="12.0"/>
      <color rgb="FF38761D"/>
      <name val="Oswald"/>
    </font>
    <font>
      <color theme="1"/>
      <name val="Arial"/>
    </font>
    <font>
      <b/>
      <color rgb="FFFFFFFF"/>
      <name val="Oswald"/>
    </font>
    <font>
      <b/>
      <u/>
      <color rgb="FFBF9000"/>
      <name val="Oswald"/>
    </font>
    <font>
      <color rgb="FFBF9000"/>
      <name val="Oswald"/>
    </font>
    <font>
      <b/>
      <color rgb="FFBF9000"/>
      <name val="Oswald"/>
    </font>
    <font>
      <b/>
      <u/>
      <color rgb="FF45818E"/>
      <name val="Oswald"/>
    </font>
    <font>
      <color rgb="FF45818E"/>
      <name val="Oswald"/>
    </font>
    <font>
      <color rgb="FF45818E"/>
      <name val="Arial"/>
    </font>
    <font/>
    <font>
      <b/>
      <u/>
      <color rgb="FF45818E"/>
      <name val="Oswald"/>
    </font>
    <font>
      <b/>
      <u/>
      <color rgb="FF45818E"/>
      <name val="Oswald"/>
    </font>
    <font>
      <b/>
      <u/>
      <color rgb="FF45818E"/>
      <name val="Oswald"/>
    </font>
    <font>
      <b/>
      <u/>
      <color rgb="FFB45F06"/>
      <name val="Oswald"/>
    </font>
    <font>
      <color rgb="FFB45F06"/>
      <name val="Oswald"/>
    </font>
    <font>
      <color rgb="FFB45F06"/>
      <name val="Arial"/>
    </font>
    <font>
      <b/>
      <u/>
      <color rgb="FFB45F06"/>
      <name val="Oswald"/>
    </font>
    <font>
      <b/>
      <sz val="19.0"/>
      <color rgb="FF38761D"/>
      <name val="Oswald"/>
    </font>
    <font>
      <b/>
      <sz val="36.0"/>
      <color rgb="FF38761D"/>
      <name val="Oswald"/>
    </font>
    <font>
      <b/>
      <sz val="19.0"/>
      <color rgb="FFE06666"/>
      <name val="Oswald"/>
    </font>
    <font>
      <b/>
      <sz val="26.0"/>
      <color rgb="FF027132"/>
      <name val="Roboto"/>
    </font>
    <font>
      <b/>
      <sz val="13.0"/>
      <color theme="1"/>
      <name val="Arial"/>
    </font>
    <font>
      <sz val="13.0"/>
      <color theme="1"/>
      <name val="Arial"/>
    </font>
    <font>
      <color rgb="FF000000"/>
      <name val="Arial"/>
    </font>
    <font>
      <b/>
      <color theme="1"/>
      <name val="Arial"/>
    </font>
    <font>
      <b/>
      <sz val="14.0"/>
      <color theme="1"/>
      <name val="Arial"/>
    </font>
    <font>
      <b/>
      <sz val="14.0"/>
      <color rgb="FF000000"/>
      <name val="Arial"/>
    </font>
    <font>
      <b/>
      <color rgb="FF000000"/>
      <name val="Arial"/>
    </font>
    <font>
      <b/>
      <sz val="15.0"/>
      <color theme="1"/>
      <name val="Arial"/>
    </font>
    <font>
      <b/>
      <sz val="15.0"/>
      <color rgb="FF000000"/>
      <name val="Arial"/>
    </font>
    <font>
      <b/>
      <sz val="13.0"/>
      <color theme="1"/>
      <name val="Arial"/>
      <scheme val="minor"/>
    </font>
    <font>
      <b/>
      <sz val="11.0"/>
      <color theme="1"/>
      <name val="Arial"/>
    </font>
    <font>
      <sz val="11.0"/>
      <color rgb="FF000000"/>
      <name val="Calibri"/>
    </font>
    <font>
      <sz val="11.0"/>
      <color rgb="FFFF0000"/>
      <name val="Calibri"/>
    </font>
    <font>
      <sz val="11.0"/>
      <color theme="1"/>
      <name val="Calibri"/>
    </font>
    <font>
      <b/>
      <sz val="11.0"/>
      <color rgb="FF000000"/>
      <name val="Calibri"/>
    </font>
  </fonts>
  <fills count="1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F3F3F3"/>
        <bgColor rgb="FFF3F3F3"/>
      </patternFill>
    </fill>
    <fill>
      <patternFill patternType="solid">
        <fgColor rgb="FFBF9000"/>
        <bgColor rgb="FFBF9000"/>
      </patternFill>
    </fill>
    <fill>
      <patternFill patternType="solid">
        <fgColor rgb="FF45818E"/>
        <bgColor rgb="FF45818E"/>
      </patternFill>
    </fill>
    <fill>
      <patternFill patternType="solid">
        <fgColor rgb="FFB45F06"/>
        <bgColor rgb="FFB45F06"/>
      </patternFill>
    </fill>
    <fill>
      <patternFill patternType="solid">
        <fgColor rgb="FF93C47D"/>
        <bgColor rgb="FF93C47D"/>
      </patternFill>
    </fill>
    <fill>
      <patternFill patternType="solid">
        <fgColor rgb="FFA4C2F4"/>
        <bgColor rgb="FFA4C2F4"/>
      </patternFill>
    </fill>
    <fill>
      <patternFill patternType="solid">
        <fgColor rgb="FF9FC5E8"/>
        <bgColor rgb="FF9FC5E8"/>
      </patternFill>
    </fill>
    <fill>
      <patternFill patternType="solid">
        <fgColor rgb="FFFFFFFF"/>
        <bgColor rgb="FFFFFFFF"/>
      </patternFill>
    </fill>
    <fill>
      <patternFill patternType="solid">
        <fgColor rgb="FFFF9900"/>
        <bgColor rgb="FFFF9900"/>
      </patternFill>
    </fill>
    <fill>
      <patternFill patternType="solid">
        <fgColor rgb="FFFFFF00"/>
        <bgColor rgb="FFFFFF00"/>
      </patternFill>
    </fill>
    <fill>
      <patternFill patternType="solid">
        <fgColor rgb="FFA2C4C9"/>
        <bgColor rgb="FFA2C4C9"/>
      </patternFill>
    </fill>
  </fills>
  <borders count="57">
    <border/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</border>
    <border>
      <left style="hair">
        <color rgb="FF000000"/>
      </left>
      <right style="hair">
        <color rgb="FF000000"/>
      </right>
      <top style="hair">
        <color rgb="FF000000"/>
      </top>
    </border>
    <border>
      <left style="hair">
        <color rgb="FF000000"/>
      </left>
      <right style="hair">
        <color rgb="FF000000"/>
      </right>
      <bottom style="hair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thin">
        <color rgb="FFFFFFFF"/>
      </top>
      <bottom style="thick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right style="thin">
        <color rgb="FF000000"/>
      </right>
    </border>
    <border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</border>
    <border>
      <left style="thick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bottom style="thick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top style="thick">
        <color rgb="FF000000"/>
      </top>
    </border>
    <border>
      <right style="thin">
        <color rgb="FF000000"/>
      </right>
      <bottom style="thick">
        <color rgb="FF000000"/>
      </bottom>
    </border>
    <border>
      <left style="thick">
        <color rgb="FF000000"/>
      </left>
      <bottom style="thick">
        <color rgb="FF000000"/>
      </bottom>
    </border>
    <border>
      <left style="thick">
        <color rgb="FF0B5394"/>
      </left>
      <right style="thin">
        <color rgb="FF000000"/>
      </right>
      <bottom style="thick">
        <color rgb="FF000000"/>
      </bottom>
    </border>
    <border>
      <left style="thick">
        <color rgb="FF0B5394"/>
      </left>
      <right style="thin">
        <color rgb="FF000000"/>
      </right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ck">
        <color rgb="FF0B5394"/>
      </left>
      <right style="thin">
        <color rgb="FF000000"/>
      </right>
      <bottom style="thin">
        <color rgb="FF000000"/>
      </bottom>
    </border>
    <border>
      <left style="thick">
        <color rgb="FF000000"/>
      </left>
      <top style="thick">
        <color rgb="FF000000"/>
      </top>
      <bottom style="thick">
        <color rgb="FF000000"/>
      </bottom>
    </border>
    <border>
      <right style="thin">
        <color rgb="FF000000"/>
      </right>
      <top style="thick">
        <color rgb="FF000000"/>
      </top>
      <bottom style="thick">
        <color rgb="FF000000"/>
      </bottom>
    </border>
    <border>
      <top style="thin">
        <color rgb="FFFFFFFF"/>
      </top>
    </border>
    <border>
      <left style="thin">
        <color rgb="FF000000"/>
      </left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top style="thin">
        <color rgb="FF000000"/>
      </top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</border>
    <border>
      <left style="thick">
        <color rgb="FF000000"/>
      </left>
      <right style="thin">
        <color rgb="FF000000"/>
      </right>
      <bottom style="thick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</borders>
  <cellStyleXfs count="1">
    <xf borderId="0" fillId="0" fontId="0" numFmtId="0" applyAlignment="1" applyFont="1"/>
  </cellStyleXfs>
  <cellXfs count="275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2" fontId="2" numFmtId="0" xfId="0" applyAlignment="1" applyFont="1">
      <alignment horizontal="center" shrinkToFit="0" vertical="center" wrapText="1"/>
    </xf>
    <xf borderId="0" fillId="3" fontId="3" numFmtId="0" xfId="0" applyAlignment="1" applyFill="1" applyFont="1">
      <alignment horizontal="center" vertical="center"/>
    </xf>
    <xf borderId="0" fillId="0" fontId="4" numFmtId="0" xfId="0" applyAlignment="1" applyFont="1">
      <alignment vertical="center"/>
    </xf>
    <xf borderId="0" fillId="2" fontId="5" numFmtId="0" xfId="0" applyAlignment="1" applyFont="1">
      <alignment horizontal="center" shrinkToFit="0" vertical="center" wrapText="1"/>
    </xf>
    <xf borderId="0" fillId="3" fontId="6" numFmtId="0" xfId="0" applyAlignment="1" applyFont="1">
      <alignment horizontal="center" shrinkToFit="0" vertical="center" wrapText="1"/>
    </xf>
    <xf borderId="0" fillId="2" fontId="7" numFmtId="0" xfId="0" applyAlignment="1" applyFont="1">
      <alignment horizontal="center" readingOrder="0" shrinkToFit="0" vertical="center" wrapText="1"/>
    </xf>
    <xf borderId="1" fillId="2" fontId="8" numFmtId="0" xfId="0" applyAlignment="1" applyBorder="1" applyFont="1">
      <alignment horizontal="center" shrinkToFit="0" vertical="center" wrapText="1"/>
    </xf>
    <xf borderId="1" fillId="2" fontId="8" numFmtId="0" xfId="0" applyAlignment="1" applyBorder="1" applyFont="1">
      <alignment horizontal="center" readingOrder="0" shrinkToFit="0" vertical="center" wrapText="1"/>
    </xf>
    <xf borderId="1" fillId="2" fontId="9" numFmtId="0" xfId="0" applyAlignment="1" applyBorder="1" applyFont="1">
      <alignment horizontal="center" readingOrder="0" shrinkToFit="0" vertical="center" wrapText="1"/>
    </xf>
    <xf borderId="1" fillId="2" fontId="9" numFmtId="0" xfId="0" applyAlignment="1" applyBorder="1" applyFont="1">
      <alignment horizontal="center" shrinkToFit="0" vertical="center" wrapText="1"/>
    </xf>
    <xf borderId="1" fillId="2" fontId="10" numFmtId="0" xfId="0" applyAlignment="1" applyBorder="1" applyFont="1">
      <alignment horizontal="center" readingOrder="0" shrinkToFit="0" vertical="center" wrapText="1"/>
    </xf>
    <xf borderId="1" fillId="4" fontId="11" numFmtId="0" xfId="0" applyAlignment="1" applyBorder="1" applyFill="1" applyFont="1">
      <alignment vertical="center"/>
    </xf>
    <xf borderId="1" fillId="4" fontId="12" numFmtId="0" xfId="0" applyAlignment="1" applyBorder="1" applyFont="1">
      <alignment horizontal="center" shrinkToFit="0" vertical="center" wrapText="1"/>
    </xf>
    <xf borderId="1" fillId="4" fontId="12" numFmtId="0" xfId="0" applyAlignment="1" applyBorder="1" applyFont="1">
      <alignment horizontal="center" readingOrder="0" shrinkToFit="0" vertical="center" wrapText="1"/>
    </xf>
    <xf borderId="1" fillId="0" fontId="13" numFmtId="0" xfId="0" applyAlignment="1" applyBorder="1" applyFont="1">
      <alignment horizontal="center" readingOrder="0" shrinkToFit="0" vertical="center" wrapText="1"/>
    </xf>
    <xf borderId="1" fillId="0" fontId="14" numFmtId="0" xfId="0" applyAlignment="1" applyBorder="1" applyFont="1">
      <alignment horizontal="center" shrinkToFit="0" vertical="center" wrapText="1"/>
    </xf>
    <xf borderId="1" fillId="0" fontId="11" numFmtId="0" xfId="0" applyAlignment="1" applyBorder="1" applyFont="1">
      <alignment horizontal="center" vertical="center"/>
    </xf>
    <xf borderId="1" fillId="0" fontId="11" numFmtId="0" xfId="0" applyAlignment="1" applyBorder="1" applyFont="1">
      <alignment horizontal="center" readingOrder="0" vertical="center"/>
    </xf>
    <xf borderId="1" fillId="0" fontId="11" numFmtId="0" xfId="0" applyAlignment="1" applyBorder="1" applyFont="1">
      <alignment vertical="center"/>
    </xf>
    <xf borderId="1" fillId="0" fontId="14" numFmtId="0" xfId="0" applyAlignment="1" applyBorder="1" applyFont="1">
      <alignment horizontal="center" readingOrder="0" shrinkToFit="0" vertical="center" wrapText="1"/>
    </xf>
    <xf borderId="1" fillId="0" fontId="11" numFmtId="0" xfId="0" applyAlignment="1" applyBorder="1" applyFont="1">
      <alignment readingOrder="0" vertical="center"/>
    </xf>
    <xf borderId="1" fillId="0" fontId="15" numFmtId="0" xfId="0" applyAlignment="1" applyBorder="1" applyFont="1">
      <alignment horizontal="center" readingOrder="0" shrinkToFit="0" vertical="center" wrapText="1"/>
    </xf>
    <xf borderId="1" fillId="5" fontId="11" numFmtId="0" xfId="0" applyAlignment="1" applyBorder="1" applyFill="1" applyFont="1">
      <alignment vertical="center"/>
    </xf>
    <xf borderId="1" fillId="5" fontId="12" numFmtId="0" xfId="0" applyAlignment="1" applyBorder="1" applyFont="1">
      <alignment horizontal="center" shrinkToFit="0" vertical="center" wrapText="1"/>
    </xf>
    <xf borderId="1" fillId="5" fontId="11" numFmtId="0" xfId="0" applyAlignment="1" applyBorder="1" applyFont="1">
      <alignment horizontal="center" vertical="center"/>
    </xf>
    <xf borderId="2" fillId="0" fontId="16" numFmtId="0" xfId="0" applyAlignment="1" applyBorder="1" applyFont="1">
      <alignment horizontal="center" shrinkToFit="0" vertical="center" wrapText="1"/>
    </xf>
    <xf borderId="1" fillId="0" fontId="17" numFmtId="0" xfId="0" applyAlignment="1" applyBorder="1" applyFont="1">
      <alignment horizontal="center" shrinkToFit="0" vertical="center" wrapText="1"/>
    </xf>
    <xf borderId="1" fillId="0" fontId="18" numFmtId="0" xfId="0" applyAlignment="1" applyBorder="1" applyFont="1">
      <alignment horizontal="center" vertical="center"/>
    </xf>
    <xf borderId="3" fillId="0" fontId="19" numFmtId="0" xfId="0" applyBorder="1" applyFont="1"/>
    <xf borderId="1" fillId="0" fontId="20" numFmtId="0" xfId="0" applyAlignment="1" applyBorder="1" applyFont="1">
      <alignment horizontal="center" shrinkToFit="0" vertical="center" wrapText="1"/>
    </xf>
    <xf borderId="1" fillId="0" fontId="17" numFmtId="0" xfId="0" applyAlignment="1" applyBorder="1" applyFont="1">
      <alignment horizontal="center" readingOrder="0" shrinkToFit="0" vertical="center" wrapText="1"/>
    </xf>
    <xf borderId="1" fillId="0" fontId="21" numFmtId="0" xfId="0" applyAlignment="1" applyBorder="1" applyFont="1">
      <alignment horizontal="center" readingOrder="0" shrinkToFit="0" vertical="center" wrapText="1"/>
    </xf>
    <xf borderId="1" fillId="0" fontId="18" numFmtId="0" xfId="0" applyAlignment="1" applyBorder="1" applyFont="1">
      <alignment horizontal="center" readingOrder="0" vertical="center"/>
    </xf>
    <xf borderId="1" fillId="0" fontId="22" numFmtId="0" xfId="0" applyAlignment="1" applyBorder="1" applyFont="1">
      <alignment horizontal="center" readingOrder="0" shrinkToFit="0" vertical="center" wrapText="1"/>
    </xf>
    <xf borderId="1" fillId="6" fontId="11" numFmtId="0" xfId="0" applyAlignment="1" applyBorder="1" applyFill="1" applyFont="1">
      <alignment vertical="center"/>
    </xf>
    <xf borderId="1" fillId="6" fontId="12" numFmtId="0" xfId="0" applyAlignment="1" applyBorder="1" applyFont="1">
      <alignment horizontal="center" shrinkToFit="0" vertical="center" wrapText="1"/>
    </xf>
    <xf borderId="1" fillId="6" fontId="11" numFmtId="0" xfId="0" applyAlignment="1" applyBorder="1" applyFont="1">
      <alignment horizontal="center" vertical="center"/>
    </xf>
    <xf borderId="2" fillId="0" fontId="23" numFmtId="0" xfId="0" applyAlignment="1" applyBorder="1" applyFont="1">
      <alignment horizontal="center" readingOrder="0" shrinkToFit="0" vertical="center" wrapText="1"/>
    </xf>
    <xf borderId="2" fillId="0" fontId="24" numFmtId="0" xfId="0" applyAlignment="1" applyBorder="1" applyFont="1">
      <alignment horizontal="center" shrinkToFit="0" vertical="center" wrapText="1"/>
    </xf>
    <xf borderId="1" fillId="0" fontId="25" numFmtId="0" xfId="0" applyAlignment="1" applyBorder="1" applyFont="1">
      <alignment vertical="center"/>
    </xf>
    <xf borderId="1" fillId="0" fontId="24" numFmtId="0" xfId="0" applyAlignment="1" applyBorder="1" applyFont="1">
      <alignment horizontal="center" readingOrder="0" shrinkToFit="0" vertical="center" wrapText="1"/>
    </xf>
    <xf borderId="1" fillId="0" fontId="26" numFmtId="0" xfId="0" applyAlignment="1" applyBorder="1" applyFont="1">
      <alignment horizontal="center" readingOrder="0" shrinkToFit="0" vertical="center" wrapText="1"/>
    </xf>
    <xf borderId="1" fillId="0" fontId="24" numFmtId="0" xfId="0" applyAlignment="1" applyBorder="1" applyFont="1">
      <alignment horizontal="center" shrinkToFit="0" vertical="center" wrapText="1"/>
    </xf>
    <xf borderId="1" fillId="0" fontId="18" numFmtId="0" xfId="0" applyAlignment="1" applyBorder="1" applyFont="1">
      <alignment vertical="center"/>
    </xf>
    <xf borderId="2" fillId="0" fontId="25" numFmtId="0" xfId="0" applyAlignment="1" applyBorder="1" applyFont="1">
      <alignment vertical="center"/>
    </xf>
    <xf borderId="2" fillId="0" fontId="11" numFmtId="0" xfId="0" applyAlignment="1" applyBorder="1" applyFont="1">
      <alignment horizontal="center" readingOrder="0" vertical="center"/>
    </xf>
    <xf borderId="2" fillId="0" fontId="11" numFmtId="0" xfId="0" applyAlignment="1" applyBorder="1" applyFont="1">
      <alignment vertical="center"/>
    </xf>
    <xf borderId="4" fillId="2" fontId="27" numFmtId="0" xfId="0" applyAlignment="1" applyBorder="1" applyFont="1">
      <alignment horizontal="center" shrinkToFit="0" vertical="center" wrapText="1"/>
    </xf>
    <xf borderId="5" fillId="0" fontId="19" numFmtId="0" xfId="0" applyBorder="1" applyFont="1"/>
    <xf borderId="6" fillId="2" fontId="28" numFmtId="0" xfId="0" applyAlignment="1" applyBorder="1" applyFont="1">
      <alignment horizontal="center" shrinkToFit="0" vertical="center" wrapText="1"/>
    </xf>
    <xf borderId="7" fillId="2" fontId="27" numFmtId="0" xfId="0" applyAlignment="1" applyBorder="1" applyFont="1">
      <alignment horizontal="center" readingOrder="0" shrinkToFit="0" vertical="center" wrapText="1"/>
    </xf>
    <xf borderId="7" fillId="2" fontId="27" numFmtId="0" xfId="0" applyAlignment="1" applyBorder="1" applyFont="1">
      <alignment horizontal="center" shrinkToFit="0" vertical="center" wrapText="1"/>
    </xf>
    <xf borderId="8" fillId="0" fontId="19" numFmtId="0" xfId="0" applyBorder="1" applyFont="1"/>
    <xf borderId="9" fillId="0" fontId="19" numFmtId="0" xfId="0" applyBorder="1" applyFont="1"/>
    <xf borderId="10" fillId="0" fontId="19" numFmtId="0" xfId="0" applyBorder="1" applyFont="1"/>
    <xf borderId="7" fillId="2" fontId="29" numFmtId="0" xfId="0" applyAlignment="1" applyBorder="1" applyFont="1">
      <alignment horizontal="center" readingOrder="0" shrinkToFit="0" vertical="center" wrapText="1"/>
    </xf>
    <xf borderId="7" fillId="2" fontId="29" numFmtId="0" xfId="0" applyAlignment="1" applyBorder="1" applyFont="1">
      <alignment horizontal="center" shrinkToFit="0" vertical="center" wrapText="1"/>
    </xf>
    <xf borderId="11" fillId="2" fontId="30" numFmtId="0" xfId="0" applyAlignment="1" applyBorder="1" applyFont="1">
      <alignment horizontal="center" readingOrder="0" shrinkToFit="0" vertical="center" wrapText="1"/>
    </xf>
    <xf borderId="11" fillId="0" fontId="19" numFmtId="0" xfId="0" applyBorder="1" applyFont="1"/>
    <xf borderId="12" fillId="7" fontId="31" numFmtId="0" xfId="0" applyAlignment="1" applyBorder="1" applyFill="1" applyFont="1">
      <alignment horizontal="center" vertical="center"/>
    </xf>
    <xf borderId="13" fillId="7" fontId="31" numFmtId="0" xfId="0" applyAlignment="1" applyBorder="1" applyFont="1">
      <alignment horizontal="center" vertical="center"/>
    </xf>
    <xf borderId="13" fillId="7" fontId="31" numFmtId="0" xfId="0" applyAlignment="1" applyBorder="1" applyFont="1">
      <alignment horizontal="center" readingOrder="0" vertical="center"/>
    </xf>
    <xf borderId="14" fillId="7" fontId="31" numFmtId="0" xfId="0" applyAlignment="1" applyBorder="1" applyFont="1">
      <alignment horizontal="center" shrinkToFit="0" vertical="center" wrapText="1"/>
    </xf>
    <xf borderId="0" fillId="0" fontId="32" numFmtId="0" xfId="0" applyAlignment="1" applyFont="1">
      <alignment horizontal="center" vertical="center"/>
    </xf>
    <xf borderId="15" fillId="0" fontId="11" numFmtId="0" xfId="0" applyAlignment="1" applyBorder="1" applyFont="1">
      <alignment horizontal="center" vertical="center"/>
    </xf>
    <xf borderId="10" fillId="0" fontId="33" numFmtId="164" xfId="0" applyAlignment="1" applyBorder="1" applyFont="1" applyNumberFormat="1">
      <alignment horizontal="center" vertical="center"/>
    </xf>
    <xf borderId="10" fillId="0" fontId="11" numFmtId="0" xfId="0" applyAlignment="1" applyBorder="1" applyFont="1">
      <alignment readingOrder="0" vertical="center"/>
    </xf>
    <xf borderId="15" fillId="0" fontId="11" numFmtId="0" xfId="0" applyAlignment="1" applyBorder="1" applyFont="1">
      <alignment readingOrder="0" vertical="center"/>
    </xf>
    <xf borderId="15" fillId="0" fontId="11" numFmtId="0" xfId="0" applyAlignment="1" applyBorder="1" applyFont="1">
      <alignment vertical="center"/>
    </xf>
    <xf borderId="15" fillId="0" fontId="19" numFmtId="0" xfId="0" applyBorder="1" applyFont="1"/>
    <xf borderId="7" fillId="0" fontId="33" numFmtId="164" xfId="0" applyAlignment="1" applyBorder="1" applyFont="1" applyNumberFormat="1">
      <alignment horizontal="center" vertical="center"/>
    </xf>
    <xf borderId="7" fillId="0" fontId="11" numFmtId="0" xfId="0" applyAlignment="1" applyBorder="1" applyFont="1">
      <alignment readingOrder="0" vertical="center"/>
    </xf>
    <xf borderId="16" fillId="0" fontId="19" numFmtId="0" xfId="0" applyBorder="1" applyFont="1"/>
    <xf borderId="17" fillId="0" fontId="33" numFmtId="164" xfId="0" applyAlignment="1" applyBorder="1" applyFont="1" applyNumberFormat="1">
      <alignment horizontal="center" readingOrder="0" vertical="center"/>
    </xf>
    <xf borderId="17" fillId="0" fontId="11" numFmtId="0" xfId="0" applyAlignment="1" applyBorder="1" applyFont="1">
      <alignment readingOrder="0" vertical="center"/>
    </xf>
    <xf borderId="15" fillId="0" fontId="34" numFmtId="0" xfId="0" applyAlignment="1" applyBorder="1" applyFont="1">
      <alignment horizontal="center" vertical="center"/>
    </xf>
    <xf borderId="15" fillId="0" fontId="34" numFmtId="0" xfId="0" applyAlignment="1" applyBorder="1" applyFont="1">
      <alignment horizontal="center" shrinkToFit="0" vertical="center" wrapText="1"/>
    </xf>
    <xf borderId="7" fillId="0" fontId="33" numFmtId="164" xfId="0" applyAlignment="1" applyBorder="1" applyFont="1" applyNumberFormat="1">
      <alignment horizontal="center" readingOrder="0" vertical="center"/>
    </xf>
    <xf borderId="6" fillId="0" fontId="11" numFmtId="0" xfId="0" applyAlignment="1" applyBorder="1" applyFont="1">
      <alignment readingOrder="0" vertical="center"/>
    </xf>
    <xf borderId="15" fillId="0" fontId="11" numFmtId="0" xfId="0" applyAlignment="1" applyBorder="1" applyFont="1">
      <alignment readingOrder="0" shrinkToFit="0" vertical="center" wrapText="1"/>
    </xf>
    <xf borderId="17" fillId="0" fontId="33" numFmtId="164" xfId="0" applyAlignment="1" applyBorder="1" applyFont="1" applyNumberFormat="1">
      <alignment horizontal="center" vertical="center"/>
    </xf>
    <xf borderId="10" fillId="0" fontId="33" numFmtId="164" xfId="0" applyAlignment="1" applyBorder="1" applyFont="1" applyNumberFormat="1">
      <alignment horizontal="center" readingOrder="0" vertical="center"/>
    </xf>
    <xf borderId="16" fillId="0" fontId="34" numFmtId="0" xfId="0" applyAlignment="1" applyBorder="1" applyFont="1">
      <alignment horizontal="center" readingOrder="0" vertical="center"/>
    </xf>
    <xf borderId="16" fillId="0" fontId="33" numFmtId="164" xfId="0" applyAlignment="1" applyBorder="1" applyFont="1" applyNumberFormat="1">
      <alignment horizontal="center" vertical="center"/>
    </xf>
    <xf borderId="16" fillId="0" fontId="11" numFmtId="0" xfId="0" applyAlignment="1" applyBorder="1" applyFont="1">
      <alignment readingOrder="0" vertical="center"/>
    </xf>
    <xf borderId="17" fillId="0" fontId="11" numFmtId="0" xfId="0" applyAlignment="1" applyBorder="1" applyFont="1">
      <alignment vertical="center"/>
    </xf>
    <xf borderId="16" fillId="0" fontId="34" numFmtId="0" xfId="0" applyAlignment="1" applyBorder="1" applyFont="1">
      <alignment horizontal="center" vertical="center"/>
    </xf>
    <xf borderId="7" fillId="0" fontId="11" numFmtId="0" xfId="0" applyAlignment="1" applyBorder="1" applyFont="1">
      <alignment vertical="center"/>
    </xf>
    <xf borderId="16" fillId="0" fontId="33" numFmtId="0" xfId="0" applyAlignment="1" applyBorder="1" applyFont="1">
      <alignment horizontal="center" vertical="center"/>
    </xf>
    <xf borderId="6" fillId="0" fontId="11" numFmtId="0" xfId="0" applyAlignment="1" applyBorder="1" applyFont="1">
      <alignment vertical="center"/>
    </xf>
    <xf borderId="12" fillId="8" fontId="35" numFmtId="0" xfId="0" applyAlignment="1" applyBorder="1" applyFill="1" applyFont="1">
      <alignment horizontal="center" vertical="center"/>
    </xf>
    <xf borderId="13" fillId="8" fontId="36" numFmtId="0" xfId="0" applyAlignment="1" applyBorder="1" applyFont="1">
      <alignment horizontal="center" vertical="center"/>
    </xf>
    <xf borderId="13" fillId="9" fontId="31" numFmtId="0" xfId="0" applyAlignment="1" applyBorder="1" applyFill="1" applyFont="1">
      <alignment horizontal="center" readingOrder="0" vertical="center"/>
    </xf>
    <xf borderId="13" fillId="9" fontId="31" numFmtId="0" xfId="0" applyAlignment="1" applyBorder="1" applyFont="1">
      <alignment horizontal="center" vertical="center"/>
    </xf>
    <xf borderId="14" fillId="9" fontId="31" numFmtId="0" xfId="0" applyAlignment="1" applyBorder="1" applyFont="1">
      <alignment horizontal="center" shrinkToFit="0" vertical="center" wrapText="1"/>
    </xf>
    <xf borderId="0" fillId="0" fontId="11" numFmtId="0" xfId="0" applyAlignment="1" applyFont="1">
      <alignment horizontal="center" vertical="center"/>
    </xf>
    <xf borderId="0" fillId="0" fontId="33" numFmtId="164" xfId="0" applyAlignment="1" applyFont="1" applyNumberFormat="1">
      <alignment horizontal="center" readingOrder="0" vertical="center"/>
    </xf>
    <xf borderId="18" fillId="0" fontId="11" numFmtId="0" xfId="0" applyAlignment="1" applyBorder="1" applyFont="1">
      <alignment readingOrder="0" vertical="center"/>
    </xf>
    <xf borderId="19" fillId="0" fontId="33" numFmtId="164" xfId="0" applyAlignment="1" applyBorder="1" applyFont="1" applyNumberFormat="1">
      <alignment horizontal="center" readingOrder="0" vertical="center"/>
    </xf>
    <xf borderId="20" fillId="0" fontId="11" numFmtId="0" xfId="0" applyAlignment="1" applyBorder="1" applyFont="1">
      <alignment readingOrder="0" vertical="center"/>
    </xf>
    <xf borderId="21" fillId="0" fontId="34" numFmtId="0" xfId="0" applyAlignment="1" applyBorder="1" applyFont="1">
      <alignment horizontal="center" vertical="center"/>
    </xf>
    <xf borderId="22" fillId="0" fontId="33" numFmtId="164" xfId="0" applyAlignment="1" applyBorder="1" applyFont="1" applyNumberFormat="1">
      <alignment horizontal="center" vertical="center"/>
    </xf>
    <xf borderId="9" fillId="0" fontId="11" numFmtId="0" xfId="0" applyAlignment="1" applyBorder="1" applyFont="1">
      <alignment readingOrder="0" vertical="center"/>
    </xf>
    <xf borderId="23" fillId="0" fontId="19" numFmtId="0" xfId="0" applyBorder="1" applyFont="1"/>
    <xf borderId="24" fillId="0" fontId="33" numFmtId="164" xfId="0" applyAlignment="1" applyBorder="1" applyFont="1" applyNumberFormat="1">
      <alignment horizontal="center" vertical="center"/>
    </xf>
    <xf borderId="25" fillId="0" fontId="34" numFmtId="0" xfId="0" applyAlignment="1" applyBorder="1" applyFont="1">
      <alignment horizontal="center" vertical="center"/>
    </xf>
    <xf borderId="26" fillId="0" fontId="11" numFmtId="0" xfId="0" applyAlignment="1" applyBorder="1" applyFont="1">
      <alignment readingOrder="0" vertical="center"/>
    </xf>
    <xf borderId="27" fillId="0" fontId="19" numFmtId="0" xfId="0" applyBorder="1" applyFont="1"/>
    <xf borderId="26" fillId="0" fontId="34" numFmtId="0" xfId="0" applyAlignment="1" applyBorder="1" applyFont="1">
      <alignment horizontal="center" vertical="center"/>
    </xf>
    <xf borderId="16" fillId="0" fontId="11" numFmtId="0" xfId="0" applyAlignment="1" applyBorder="1" applyFont="1">
      <alignment vertical="center"/>
    </xf>
    <xf borderId="18" fillId="10" fontId="37" numFmtId="0" xfId="0" applyAlignment="1" applyBorder="1" applyFill="1" applyFont="1">
      <alignment horizontal="center" vertical="center"/>
    </xf>
    <xf borderId="16" fillId="0" fontId="33" numFmtId="164" xfId="0" applyAlignment="1" applyBorder="1" applyFont="1" applyNumberFormat="1">
      <alignment horizontal="center" readingOrder="0" vertical="center"/>
    </xf>
    <xf borderId="26" fillId="0" fontId="19" numFmtId="0" xfId="0" applyBorder="1" applyFont="1"/>
    <xf borderId="16" fillId="0" fontId="33" numFmtId="165" xfId="0" applyAlignment="1" applyBorder="1" applyFont="1" applyNumberFormat="1">
      <alignment horizontal="center" readingOrder="0" vertical="center"/>
    </xf>
    <xf borderId="28" fillId="10" fontId="37" numFmtId="0" xfId="0" applyAlignment="1" applyBorder="1" applyFont="1">
      <alignment horizontal="center" vertical="center"/>
    </xf>
    <xf borderId="16" fillId="0" fontId="33" numFmtId="166" xfId="0" applyAlignment="1" applyBorder="1" applyFont="1" applyNumberFormat="1">
      <alignment horizontal="center" readingOrder="0" vertical="center"/>
    </xf>
    <xf borderId="28" fillId="10" fontId="37" numFmtId="0" xfId="0" applyAlignment="1" applyBorder="1" applyFont="1">
      <alignment horizontal="center" readingOrder="0" vertical="center"/>
    </xf>
    <xf borderId="29" fillId="10" fontId="37" numFmtId="0" xfId="0" applyAlignment="1" applyBorder="1" applyFont="1">
      <alignment horizontal="center" vertical="center"/>
    </xf>
    <xf borderId="8" fillId="0" fontId="11" numFmtId="0" xfId="0" applyAlignment="1" applyBorder="1" applyFont="1">
      <alignment readingOrder="0" vertical="center"/>
    </xf>
    <xf borderId="29" fillId="0" fontId="19" numFmtId="0" xfId="0" applyBorder="1" applyFont="1"/>
    <xf borderId="30" fillId="0" fontId="11" numFmtId="0" xfId="0" applyAlignment="1" applyBorder="1" applyFont="1">
      <alignment readingOrder="0" vertical="center"/>
    </xf>
    <xf borderId="28" fillId="0" fontId="19" numFmtId="0" xfId="0" applyBorder="1" applyFont="1"/>
    <xf borderId="6" fillId="0" fontId="33" numFmtId="164" xfId="0" applyAlignment="1" applyBorder="1" applyFont="1" applyNumberFormat="1">
      <alignment horizontal="center" vertical="center"/>
    </xf>
    <xf borderId="7" fillId="0" fontId="33" numFmtId="166" xfId="0" applyAlignment="1" applyBorder="1" applyFont="1" applyNumberFormat="1">
      <alignment horizontal="center" readingOrder="0" vertical="center"/>
    </xf>
    <xf borderId="31" fillId="0" fontId="19" numFmtId="0" xfId="0" applyBorder="1" applyFont="1"/>
    <xf borderId="6" fillId="10" fontId="37" numFmtId="0" xfId="0" applyAlignment="1" applyBorder="1" applyFont="1">
      <alignment horizontal="center" readingOrder="0" vertical="center"/>
    </xf>
    <xf borderId="0" fillId="10" fontId="37" numFmtId="0" xfId="0" applyAlignment="1" applyFont="1">
      <alignment horizontal="center" vertical="center"/>
    </xf>
    <xf borderId="19" fillId="0" fontId="19" numFmtId="0" xfId="0" applyBorder="1" applyFont="1"/>
    <xf borderId="6" fillId="0" fontId="33" numFmtId="164" xfId="0" applyAlignment="1" applyBorder="1" applyFont="1" applyNumberFormat="1">
      <alignment horizontal="center" readingOrder="0" vertical="center"/>
    </xf>
    <xf borderId="32" fillId="11" fontId="38" numFmtId="0" xfId="0" applyAlignment="1" applyBorder="1" applyFill="1" applyFont="1">
      <alignment horizontal="center" vertical="center"/>
    </xf>
    <xf borderId="13" fillId="11" fontId="39" numFmtId="0" xfId="0" applyAlignment="1" applyBorder="1" applyFont="1">
      <alignment horizontal="center" vertical="center"/>
    </xf>
    <xf borderId="33" fillId="11" fontId="31" numFmtId="0" xfId="0" applyAlignment="1" applyBorder="1" applyFont="1">
      <alignment horizontal="center" readingOrder="0" vertical="center"/>
    </xf>
    <xf borderId="13" fillId="11" fontId="31" numFmtId="0" xfId="0" applyAlignment="1" applyBorder="1" applyFont="1">
      <alignment horizontal="center" vertical="center"/>
    </xf>
    <xf borderId="14" fillId="11" fontId="31" numFmtId="0" xfId="0" applyAlignment="1" applyBorder="1" applyFont="1">
      <alignment horizontal="center" shrinkToFit="0" vertical="center" wrapText="1"/>
    </xf>
    <xf borderId="16" fillId="12" fontId="11" numFmtId="0" xfId="0" applyAlignment="1" applyBorder="1" applyFill="1" applyFont="1">
      <alignment vertical="center"/>
    </xf>
    <xf borderId="0" fillId="0" fontId="11" numFmtId="0" xfId="0" applyAlignment="1" applyFont="1">
      <alignment vertical="center"/>
    </xf>
    <xf borderId="34" fillId="2" fontId="30" numFmtId="0" xfId="0" applyAlignment="1" applyBorder="1" applyFont="1">
      <alignment horizontal="center" readingOrder="0" shrinkToFit="0" vertical="center" wrapText="1"/>
    </xf>
    <xf borderId="34" fillId="0" fontId="19" numFmtId="0" xfId="0" applyBorder="1" applyFont="1"/>
    <xf borderId="10" fillId="13" fontId="40" numFmtId="0" xfId="0" applyAlignment="1" applyBorder="1" applyFill="1" applyFont="1">
      <alignment horizontal="center" readingOrder="0" vertical="center"/>
    </xf>
    <xf borderId="10" fillId="13" fontId="40" numFmtId="167" xfId="0" applyAlignment="1" applyBorder="1" applyFont="1" applyNumberFormat="1">
      <alignment horizontal="center" readingOrder="0" vertical="center"/>
    </xf>
    <xf borderId="0" fillId="13" fontId="40" numFmtId="167" xfId="0" applyAlignment="1" applyFont="1" applyNumberFormat="1">
      <alignment horizontal="center" readingOrder="0" vertical="center"/>
    </xf>
    <xf borderId="6" fillId="0" fontId="41" numFmtId="0" xfId="0" applyAlignment="1" applyBorder="1" applyFont="1">
      <alignment horizontal="center" readingOrder="0" shrinkToFit="0" vertical="center" wrapText="1"/>
    </xf>
    <xf borderId="4" fillId="0" fontId="34" numFmtId="0" xfId="0" applyAlignment="1" applyBorder="1" applyFont="1">
      <alignment horizontal="center" readingOrder="0" shrinkToFit="0" vertical="center" wrapText="1"/>
    </xf>
    <xf borderId="30" fillId="10" fontId="42" numFmtId="0" xfId="0" applyAlignment="1" applyBorder="1" applyFont="1">
      <alignment horizontal="center" shrinkToFit="0" vertical="center" wrapText="1"/>
    </xf>
    <xf borderId="7" fillId="10" fontId="42" numFmtId="0" xfId="0" applyAlignment="1" applyBorder="1" applyFont="1">
      <alignment horizontal="center" shrinkToFit="0" vertical="center" wrapText="1"/>
    </xf>
    <xf borderId="7" fillId="10" fontId="42" numFmtId="0" xfId="0" applyAlignment="1" applyBorder="1" applyFont="1">
      <alignment horizontal="center" readingOrder="0" shrinkToFit="0" vertical="center" wrapText="1"/>
    </xf>
    <xf borderId="18" fillId="0" fontId="4" numFmtId="10" xfId="0" applyAlignment="1" applyBorder="1" applyFont="1" applyNumberFormat="1">
      <alignment readingOrder="0" vertical="center"/>
    </xf>
    <xf borderId="15" fillId="0" fontId="4" numFmtId="10" xfId="0" applyAlignment="1" applyBorder="1" applyFont="1" applyNumberFormat="1">
      <alignment readingOrder="0" vertical="center"/>
    </xf>
    <xf borderId="21" fillId="0" fontId="4" numFmtId="10" xfId="0" applyAlignment="1" applyBorder="1" applyFont="1" applyNumberFormat="1">
      <alignment readingOrder="0" vertical="center"/>
    </xf>
    <xf borderId="7" fillId="0" fontId="4" numFmtId="0" xfId="0" applyAlignment="1" applyBorder="1" applyFont="1">
      <alignment vertical="center"/>
    </xf>
    <xf borderId="21" fillId="0" fontId="19" numFmtId="0" xfId="0" applyBorder="1" applyFont="1"/>
    <xf borderId="7" fillId="0" fontId="4" numFmtId="0" xfId="0" applyAlignment="1" applyBorder="1" applyFont="1">
      <alignment readingOrder="0" vertical="center"/>
    </xf>
    <xf borderId="30" fillId="10" fontId="42" numFmtId="0" xfId="0" applyAlignment="1" applyBorder="1" applyFont="1">
      <alignment horizontal="center" readingOrder="0" shrinkToFit="0" vertical="center" wrapText="1"/>
    </xf>
    <xf borderId="7" fillId="10" fontId="43" numFmtId="0" xfId="0" applyAlignment="1" applyBorder="1" applyFont="1">
      <alignment horizontal="center" readingOrder="0" shrinkToFit="0" vertical="center" wrapText="1"/>
    </xf>
    <xf borderId="7" fillId="12" fontId="4" numFmtId="0" xfId="0" applyAlignment="1" applyBorder="1" applyFont="1">
      <alignment vertical="center"/>
    </xf>
    <xf borderId="7" fillId="10" fontId="42" numFmtId="9" xfId="0" applyAlignment="1" applyBorder="1" applyFont="1" applyNumberFormat="1">
      <alignment horizontal="center" readingOrder="0" shrinkToFit="0" vertical="center" wrapText="1"/>
    </xf>
    <xf borderId="7" fillId="0" fontId="4" numFmtId="9" xfId="0" applyAlignment="1" applyBorder="1" applyFont="1" applyNumberFormat="1">
      <alignment readingOrder="0" vertical="center"/>
    </xf>
    <xf borderId="6" fillId="10" fontId="42" numFmtId="0" xfId="0" applyAlignment="1" applyBorder="1" applyFont="1">
      <alignment horizontal="center" readingOrder="0" shrinkToFit="0" vertical="center" wrapText="1"/>
    </xf>
    <xf borderId="9" fillId="10" fontId="42" numFmtId="0" xfId="0" applyAlignment="1" applyBorder="1" applyFont="1">
      <alignment horizontal="center" readingOrder="0" shrinkToFit="0" vertical="center" wrapText="1"/>
    </xf>
    <xf borderId="6" fillId="10" fontId="42" numFmtId="0" xfId="0" applyAlignment="1" applyBorder="1" applyFont="1">
      <alignment horizontal="center" shrinkToFit="0" vertical="center" wrapText="1"/>
    </xf>
    <xf borderId="17" fillId="10" fontId="42" numFmtId="0" xfId="0" applyAlignment="1" applyBorder="1" applyFont="1">
      <alignment horizontal="center" shrinkToFit="0" vertical="center" wrapText="1"/>
    </xf>
    <xf borderId="17" fillId="10" fontId="42" numFmtId="0" xfId="0" applyAlignment="1" applyBorder="1" applyFont="1">
      <alignment horizontal="center" readingOrder="0" shrinkToFit="0" vertical="center" wrapText="1"/>
    </xf>
    <xf borderId="17" fillId="0" fontId="4" numFmtId="0" xfId="0" applyAlignment="1" applyBorder="1" applyFont="1">
      <alignment vertical="center"/>
    </xf>
    <xf borderId="15" fillId="0" fontId="41" numFmtId="0" xfId="0" applyAlignment="1" applyBorder="1" applyFont="1">
      <alignment horizontal="center" readingOrder="0" shrinkToFit="0" vertical="center" wrapText="1"/>
    </xf>
    <xf borderId="15" fillId="0" fontId="34" numFmtId="0" xfId="0" applyAlignment="1" applyBorder="1" applyFont="1">
      <alignment horizontal="center" readingOrder="0" shrinkToFit="0" vertical="center" wrapText="1"/>
    </xf>
    <xf borderId="8" fillId="10" fontId="42" numFmtId="0" xfId="0" applyAlignment="1" applyBorder="1" applyFont="1">
      <alignment horizontal="center" shrinkToFit="0" vertical="center" wrapText="1"/>
    </xf>
    <xf borderId="10" fillId="10" fontId="44" numFmtId="0" xfId="0" applyAlignment="1" applyBorder="1" applyFont="1">
      <alignment horizontal="center" readingOrder="0" vertical="center"/>
    </xf>
    <xf borderId="10" fillId="10" fontId="42" numFmtId="0" xfId="0" applyAlignment="1" applyBorder="1" applyFont="1">
      <alignment horizontal="center" readingOrder="0" shrinkToFit="0" vertical="center" wrapText="1"/>
    </xf>
    <xf borderId="10" fillId="0" fontId="4" numFmtId="0" xfId="0" applyAlignment="1" applyBorder="1" applyFont="1">
      <alignment vertical="center"/>
    </xf>
    <xf borderId="7" fillId="10" fontId="44" numFmtId="0" xfId="0" applyAlignment="1" applyBorder="1" applyFont="1">
      <alignment horizontal="center" readingOrder="0" vertical="center"/>
    </xf>
    <xf borderId="35" fillId="10" fontId="42" numFmtId="0" xfId="0" applyAlignment="1" applyBorder="1" applyFont="1">
      <alignment horizontal="center" shrinkToFit="0" vertical="center" wrapText="1"/>
    </xf>
    <xf borderId="17" fillId="10" fontId="42" numFmtId="9" xfId="0" applyAlignment="1" applyBorder="1" applyFont="1" applyNumberFormat="1">
      <alignment horizontal="center" readingOrder="0" shrinkToFit="0" vertical="center" wrapText="1"/>
    </xf>
    <xf borderId="19" fillId="10" fontId="42" numFmtId="0" xfId="0" applyAlignment="1" applyBorder="1" applyFont="1">
      <alignment horizontal="center" shrinkToFit="0" vertical="center" wrapText="1"/>
    </xf>
    <xf borderId="26" fillId="0" fontId="4" numFmtId="0" xfId="0" applyAlignment="1" applyBorder="1" applyFont="1">
      <alignment vertical="center"/>
    </xf>
    <xf borderId="16" fillId="0" fontId="4" numFmtId="0" xfId="0" applyAlignment="1" applyBorder="1" applyFont="1">
      <alignment vertical="center"/>
    </xf>
    <xf borderId="21" fillId="0" fontId="41" numFmtId="0" xfId="0" applyAlignment="1" applyBorder="1" applyFont="1">
      <alignment horizontal="center" readingOrder="0" shrinkToFit="0" vertical="center" wrapText="1"/>
    </xf>
    <xf borderId="10" fillId="10" fontId="42" numFmtId="0" xfId="0" applyAlignment="1" applyBorder="1" applyFont="1">
      <alignment horizontal="center" shrinkToFit="0" vertical="center" wrapText="1"/>
    </xf>
    <xf borderId="9" fillId="10" fontId="42" numFmtId="0" xfId="0" applyAlignment="1" applyBorder="1" applyFont="1">
      <alignment horizontal="center" shrinkToFit="0" vertical="center" wrapText="1"/>
    </xf>
    <xf borderId="10" fillId="0" fontId="4" numFmtId="10" xfId="0" applyAlignment="1" applyBorder="1" applyFont="1" applyNumberFormat="1">
      <alignment readingOrder="0" vertical="center"/>
    </xf>
    <xf borderId="4" fillId="10" fontId="42" numFmtId="0" xfId="0" applyAlignment="1" applyBorder="1" applyFont="1">
      <alignment horizontal="center" readingOrder="0" shrinkToFit="0" vertical="center" wrapText="1"/>
    </xf>
    <xf borderId="36" fillId="10" fontId="42" numFmtId="0" xfId="0" applyAlignment="1" applyBorder="1" applyFont="1">
      <alignment horizontal="center" readingOrder="0" shrinkToFit="0" vertical="center" wrapText="1"/>
    </xf>
    <xf borderId="20" fillId="10" fontId="42" numFmtId="0" xfId="0" applyAlignment="1" applyBorder="1" applyFont="1">
      <alignment horizontal="center" readingOrder="0" shrinkToFit="0" vertical="center" wrapText="1"/>
    </xf>
    <xf borderId="26" fillId="10" fontId="42" numFmtId="0" xfId="0" applyAlignment="1" applyBorder="1" applyFont="1">
      <alignment horizontal="center" shrinkToFit="0" vertical="center" wrapText="1"/>
    </xf>
    <xf borderId="21" fillId="0" fontId="41" numFmtId="0" xfId="0" applyAlignment="1" applyBorder="1" applyFont="1">
      <alignment horizontal="center" shrinkToFit="0" vertical="center" wrapText="1"/>
    </xf>
    <xf borderId="15" fillId="10" fontId="45" numFmtId="0" xfId="0" applyAlignment="1" applyBorder="1" applyFont="1">
      <alignment horizontal="center" shrinkToFit="0" vertical="center" wrapText="1"/>
    </xf>
    <xf borderId="5" fillId="10" fontId="42" numFmtId="0" xfId="0" applyAlignment="1" applyBorder="1" applyFont="1">
      <alignment horizontal="center" readingOrder="0" shrinkToFit="0" vertical="center" wrapText="1"/>
    </xf>
    <xf borderId="10" fillId="0" fontId="4" numFmtId="0" xfId="0" applyAlignment="1" applyBorder="1" applyFont="1">
      <alignment readingOrder="0" vertical="center"/>
    </xf>
    <xf borderId="15" fillId="10" fontId="45" numFmtId="0" xfId="0" applyAlignment="1" applyBorder="1" applyFont="1">
      <alignment horizontal="center" readingOrder="0" shrinkToFit="0" vertical="center" wrapText="1"/>
    </xf>
    <xf borderId="7" fillId="0" fontId="4" numFmtId="10" xfId="0" applyAlignment="1" applyBorder="1" applyFont="1" applyNumberFormat="1">
      <alignment readingOrder="0" vertical="center"/>
    </xf>
    <xf borderId="36" fillId="10" fontId="42" numFmtId="0" xfId="0" applyAlignment="1" applyBorder="1" applyFont="1">
      <alignment horizontal="center" shrinkToFit="0" vertical="center" wrapText="1"/>
    </xf>
    <xf borderId="18" fillId="10" fontId="42" numFmtId="0" xfId="0" applyAlignment="1" applyBorder="1" applyFont="1">
      <alignment horizontal="center" shrinkToFit="0" vertical="center" wrapText="1"/>
    </xf>
    <xf borderId="10" fillId="0" fontId="4" numFmtId="2" xfId="0" applyAlignment="1" applyBorder="1" applyFont="1" applyNumberFormat="1">
      <alignment readingOrder="0" vertical="center"/>
    </xf>
    <xf borderId="37" fillId="0" fontId="19" numFmtId="0" xfId="0" applyBorder="1" applyFont="1"/>
    <xf borderId="38" fillId="0" fontId="19" numFmtId="0" xfId="0" applyBorder="1" applyFont="1"/>
    <xf borderId="20" fillId="10" fontId="42" numFmtId="0" xfId="0" applyAlignment="1" applyBorder="1" applyFont="1">
      <alignment horizontal="center" shrinkToFit="0" vertical="center" wrapText="1"/>
    </xf>
    <xf borderId="15" fillId="0" fontId="41" numFmtId="0" xfId="0" applyAlignment="1" applyBorder="1" applyFont="1">
      <alignment horizontal="center" shrinkToFit="0" vertical="center" wrapText="1"/>
    </xf>
    <xf borderId="6" fillId="10" fontId="42" numFmtId="0" xfId="0" applyAlignment="1" applyBorder="1" applyFont="1">
      <alignment horizontal="center" shrinkToFit="0" vertical="center" wrapText="1"/>
    </xf>
    <xf borderId="39" fillId="10" fontId="42" numFmtId="0" xfId="0" applyAlignment="1" applyBorder="1" applyFont="1">
      <alignment horizontal="center" shrinkToFit="0" vertical="center" wrapText="1"/>
    </xf>
    <xf borderId="5" fillId="10" fontId="42" numFmtId="0" xfId="0" applyAlignment="1" applyBorder="1" applyFont="1">
      <alignment horizontal="center" shrinkToFit="0" vertical="center" wrapText="1"/>
    </xf>
    <xf borderId="36" fillId="0" fontId="4" numFmtId="0" xfId="0" applyAlignment="1" applyBorder="1" applyFont="1">
      <alignment vertical="center"/>
    </xf>
    <xf borderId="20" fillId="0" fontId="4" numFmtId="0" xfId="0" applyAlignment="1" applyBorder="1" applyFont="1">
      <alignment vertical="center"/>
    </xf>
    <xf borderId="7" fillId="0" fontId="4" numFmtId="2" xfId="0" applyAlignment="1" applyBorder="1" applyFont="1" applyNumberFormat="1">
      <alignment readingOrder="0" vertical="center"/>
    </xf>
    <xf borderId="36" fillId="10" fontId="43" numFmtId="0" xfId="0" applyAlignment="1" applyBorder="1" applyFont="1">
      <alignment horizontal="center" readingOrder="0" shrinkToFit="0" vertical="center" wrapText="1"/>
    </xf>
    <xf borderId="5" fillId="10" fontId="43" numFmtId="0" xfId="0" applyAlignment="1" applyBorder="1" applyFont="1">
      <alignment horizontal="center" readingOrder="0" shrinkToFit="0" vertical="center" wrapText="1"/>
    </xf>
    <xf borderId="7" fillId="10" fontId="42" numFmtId="0" xfId="0" applyAlignment="1" applyBorder="1" applyFont="1">
      <alignment horizontal="center" shrinkToFit="0" vertical="center" wrapText="1"/>
    </xf>
    <xf borderId="15" fillId="0" fontId="4" numFmtId="0" xfId="0" applyAlignment="1" applyBorder="1" applyFont="1">
      <alignment vertical="center"/>
    </xf>
    <xf borderId="38" fillId="0" fontId="4" numFmtId="0" xfId="0" applyAlignment="1" applyBorder="1" applyFont="1">
      <alignment vertical="center"/>
    </xf>
    <xf borderId="36" fillId="10" fontId="43" numFmtId="0" xfId="0" applyAlignment="1" applyBorder="1" applyFont="1">
      <alignment horizontal="center" shrinkToFit="0" vertical="center" wrapText="1"/>
    </xf>
    <xf borderId="6" fillId="0" fontId="4" numFmtId="0" xfId="0" applyAlignment="1" applyBorder="1" applyFont="1">
      <alignment vertical="center"/>
    </xf>
    <xf borderId="40" fillId="10" fontId="42" numFmtId="0" xfId="0" applyAlignment="1" applyBorder="1" applyFont="1">
      <alignment horizontal="center" readingOrder="0" shrinkToFit="0" vertical="center" wrapText="1"/>
    </xf>
    <xf borderId="41" fillId="10" fontId="42" numFmtId="0" xfId="0" applyAlignment="1" applyBorder="1" applyFont="1">
      <alignment horizontal="center" shrinkToFit="0" vertical="center" wrapText="1"/>
    </xf>
    <xf borderId="8" fillId="10" fontId="43" numFmtId="0" xfId="0" applyAlignment="1" applyBorder="1" applyFont="1">
      <alignment horizontal="center" readingOrder="0" shrinkToFit="0" vertical="center" wrapText="1"/>
    </xf>
    <xf borderId="19" fillId="10" fontId="42" numFmtId="0" xfId="0" applyAlignment="1" applyBorder="1" applyFont="1">
      <alignment horizontal="center" readingOrder="0" shrinkToFit="0" vertical="center" wrapText="1"/>
    </xf>
    <xf borderId="35" fillId="10" fontId="42" numFmtId="0" xfId="0" applyAlignment="1" applyBorder="1" applyFont="1">
      <alignment horizontal="center" readingOrder="0" shrinkToFit="0" vertical="center" wrapText="1"/>
    </xf>
    <xf borderId="15" fillId="0" fontId="41" numFmtId="0" xfId="0" applyAlignment="1" applyBorder="1" applyFont="1">
      <alignment horizontal="center" readingOrder="0" vertical="center"/>
    </xf>
    <xf borderId="8" fillId="10" fontId="42" numFmtId="0" xfId="0" applyAlignment="1" applyBorder="1" applyFont="1">
      <alignment horizontal="center" readingOrder="0" shrinkToFit="0" vertical="center" wrapText="1"/>
    </xf>
    <xf borderId="30" fillId="10" fontId="43" numFmtId="0" xfId="0" applyAlignment="1" applyBorder="1" applyFont="1">
      <alignment horizontal="center" shrinkToFit="0" vertical="center" wrapText="1"/>
    </xf>
    <xf borderId="4" fillId="10" fontId="42" numFmtId="0" xfId="0" applyAlignment="1" applyBorder="1" applyFont="1">
      <alignment horizontal="center" shrinkToFit="0" vertical="center" wrapText="1"/>
    </xf>
    <xf borderId="42" fillId="0" fontId="41" numFmtId="0" xfId="0" applyAlignment="1" applyBorder="1" applyFont="1">
      <alignment horizontal="center" readingOrder="0" shrinkToFit="0" vertical="center" wrapText="1"/>
    </xf>
    <xf borderId="43" fillId="0" fontId="34" numFmtId="0" xfId="0" applyAlignment="1" applyBorder="1" applyFont="1">
      <alignment horizontal="center" readingOrder="0" shrinkToFit="0" vertical="center" wrapText="1"/>
    </xf>
    <xf borderId="44" fillId="10" fontId="42" numFmtId="0" xfId="0" applyAlignment="1" applyBorder="1" applyFont="1">
      <alignment horizontal="center" readingOrder="0" shrinkToFit="0" vertical="center" wrapText="1"/>
    </xf>
    <xf borderId="45" fillId="10" fontId="42" numFmtId="0" xfId="0" applyAlignment="1" applyBorder="1" applyFont="1">
      <alignment horizontal="center" shrinkToFit="0" vertical="center" wrapText="1"/>
    </xf>
    <xf borderId="44" fillId="10" fontId="42" numFmtId="0" xfId="0" applyAlignment="1" applyBorder="1" applyFont="1">
      <alignment horizontal="center" shrinkToFit="0" vertical="center" wrapText="1"/>
    </xf>
    <xf borderId="46" fillId="0" fontId="19" numFmtId="0" xfId="0" applyBorder="1" applyFont="1"/>
    <xf borderId="47" fillId="0" fontId="19" numFmtId="0" xfId="0" applyBorder="1" applyFont="1"/>
    <xf borderId="0" fillId="0" fontId="4" numFmtId="0" xfId="0" applyAlignment="1" applyFont="1">
      <alignment horizontal="center" vertical="center"/>
    </xf>
    <xf borderId="15" fillId="13" fontId="40" numFmtId="167" xfId="0" applyAlignment="1" applyBorder="1" applyFont="1" applyNumberFormat="1">
      <alignment horizontal="center" readingOrder="0" vertical="center"/>
    </xf>
    <xf borderId="15" fillId="13" fontId="40" numFmtId="0" xfId="0" applyAlignment="1" applyBorder="1" applyFont="1">
      <alignment horizontal="center" readingOrder="0" vertical="center"/>
    </xf>
    <xf borderId="4" fillId="0" fontId="34" numFmtId="0" xfId="0" applyAlignment="1" applyBorder="1" applyFont="1">
      <alignment horizontal="center" vertical="center"/>
    </xf>
    <xf quotePrefix="1" borderId="7" fillId="10" fontId="42" numFmtId="0" xfId="0" applyAlignment="1" applyBorder="1" applyFont="1">
      <alignment horizontal="center" shrinkToFit="0" vertical="center" wrapText="1"/>
    </xf>
    <xf borderId="48" fillId="10" fontId="42" numFmtId="0" xfId="0" applyAlignment="1" applyBorder="1" applyFont="1">
      <alignment horizontal="center" readingOrder="0" shrinkToFit="0" vertical="center" wrapText="1"/>
    </xf>
    <xf borderId="49" fillId="10" fontId="42" numFmtId="0" xfId="0" applyAlignment="1" applyBorder="1" applyFont="1">
      <alignment horizontal="center" readingOrder="0" shrinkToFit="0" vertical="center" wrapText="1"/>
    </xf>
    <xf borderId="49" fillId="10" fontId="42" numFmtId="0" xfId="0" applyAlignment="1" applyBorder="1" applyFont="1">
      <alignment horizontal="center" shrinkToFit="0" vertical="center" wrapText="1"/>
    </xf>
    <xf borderId="48" fillId="10" fontId="42" numFmtId="0" xfId="0" applyAlignment="1" applyBorder="1" applyFont="1">
      <alignment horizontal="center" shrinkToFit="0" vertical="center" wrapText="1"/>
    </xf>
    <xf borderId="21" fillId="0" fontId="34" numFmtId="0" xfId="0" applyAlignment="1" applyBorder="1" applyFont="1">
      <alignment horizontal="center" readingOrder="0" vertical="center"/>
    </xf>
    <xf borderId="21" fillId="0" fontId="34" numFmtId="0" xfId="0" applyAlignment="1" applyBorder="1" applyFont="1">
      <alignment horizontal="center" readingOrder="0" shrinkToFit="0" vertical="center" wrapText="1"/>
    </xf>
    <xf borderId="0" fillId="10" fontId="42" numFmtId="0" xfId="0" applyAlignment="1" applyFont="1">
      <alignment horizontal="center" readingOrder="0" shrinkToFit="0" vertical="center" wrapText="1"/>
    </xf>
    <xf borderId="15" fillId="10" fontId="42" numFmtId="0" xfId="0" applyAlignment="1" applyBorder="1" applyFont="1">
      <alignment horizontal="center" shrinkToFit="0" vertical="center" wrapText="1"/>
    </xf>
    <xf borderId="21" fillId="10" fontId="42" numFmtId="0" xfId="0" applyAlignment="1" applyBorder="1" applyFont="1">
      <alignment horizontal="center" shrinkToFit="0" vertical="center" wrapText="1"/>
    </xf>
    <xf borderId="39" fillId="10" fontId="42" numFmtId="0" xfId="0" applyAlignment="1" applyBorder="1" applyFont="1">
      <alignment horizontal="center" readingOrder="0" shrinkToFit="0" vertical="center" wrapText="1"/>
    </xf>
    <xf borderId="50" fillId="10" fontId="42" numFmtId="0" xfId="0" applyAlignment="1" applyBorder="1" applyFont="1">
      <alignment horizontal="center" readingOrder="0" shrinkToFit="0" vertical="center" wrapText="1"/>
    </xf>
    <xf borderId="50" fillId="10" fontId="42" numFmtId="0" xfId="0" applyAlignment="1" applyBorder="1" applyFont="1">
      <alignment horizontal="center" shrinkToFit="0" vertical="center" wrapText="1"/>
    </xf>
    <xf borderId="10" fillId="10" fontId="42" numFmtId="9" xfId="0" applyAlignment="1" applyBorder="1" applyFont="1" applyNumberFormat="1">
      <alignment horizontal="center" shrinkToFit="0" vertical="center" wrapText="1"/>
    </xf>
    <xf borderId="7" fillId="10" fontId="42" numFmtId="9" xfId="0" applyAlignment="1" applyBorder="1" applyFont="1" applyNumberFormat="1">
      <alignment horizontal="center" shrinkToFit="0" vertical="center" wrapText="1"/>
    </xf>
    <xf borderId="15" fillId="0" fontId="34" numFmtId="0" xfId="0" applyAlignment="1" applyBorder="1" applyFont="1">
      <alignment horizontal="center" readingOrder="0" vertical="center"/>
    </xf>
    <xf borderId="16" fillId="10" fontId="45" numFmtId="0" xfId="0" applyAlignment="1" applyBorder="1" applyFont="1">
      <alignment horizontal="center" shrinkToFit="0" vertical="center" wrapText="1"/>
    </xf>
    <xf borderId="23" fillId="10" fontId="42" numFmtId="0" xfId="0" applyAlignment="1" applyBorder="1" applyFont="1">
      <alignment horizontal="center" shrinkToFit="0" vertical="center" wrapText="1"/>
    </xf>
    <xf borderId="16" fillId="10" fontId="42" numFmtId="0" xfId="0" applyAlignment="1" applyBorder="1" applyFont="1">
      <alignment horizontal="center" readingOrder="0" shrinkToFit="0" vertical="center" wrapText="1"/>
    </xf>
    <xf borderId="19" fillId="10" fontId="42" numFmtId="9" xfId="0" applyAlignment="1" applyBorder="1" applyFont="1" applyNumberFormat="1">
      <alignment horizontal="center" shrinkToFit="0" vertical="center" wrapText="1"/>
    </xf>
    <xf borderId="26" fillId="10" fontId="42" numFmtId="9" xfId="0" applyAlignment="1" applyBorder="1" applyFont="1" applyNumberFormat="1">
      <alignment horizontal="center" shrinkToFit="0" vertical="center" wrapText="1"/>
    </xf>
    <xf borderId="16" fillId="10" fontId="42" numFmtId="0" xfId="0" applyAlignment="1" applyBorder="1" applyFont="1">
      <alignment horizontal="center" shrinkToFit="0" vertical="center" wrapText="1"/>
    </xf>
    <xf borderId="10" fillId="10" fontId="42" numFmtId="10" xfId="0" applyAlignment="1" applyBorder="1" applyFont="1" applyNumberFormat="1">
      <alignment horizontal="center" shrinkToFit="0" vertical="center" wrapText="1"/>
    </xf>
    <xf borderId="7" fillId="10" fontId="42" numFmtId="10" xfId="0" applyAlignment="1" applyBorder="1" applyFont="1" applyNumberFormat="1">
      <alignment horizontal="center" shrinkToFit="0" vertical="center" wrapText="1"/>
    </xf>
    <xf borderId="17" fillId="10" fontId="42" numFmtId="10" xfId="0" applyAlignment="1" applyBorder="1" applyFont="1" applyNumberFormat="1">
      <alignment horizontal="center" shrinkToFit="0" vertical="center" wrapText="1"/>
    </xf>
    <xf borderId="35" fillId="0" fontId="4" numFmtId="0" xfId="0" applyAlignment="1" applyBorder="1" applyFont="1">
      <alignment vertical="center"/>
    </xf>
    <xf borderId="6" fillId="0" fontId="41" numFmtId="0" xfId="0" applyAlignment="1" applyBorder="1" applyFont="1">
      <alignment horizontal="center" vertical="center"/>
    </xf>
    <xf borderId="7" fillId="10" fontId="44" numFmtId="0" xfId="0" applyAlignment="1" applyBorder="1" applyFont="1">
      <alignment vertical="center"/>
    </xf>
    <xf borderId="6" fillId="10" fontId="44" numFmtId="0" xfId="0" applyAlignment="1" applyBorder="1" applyFont="1">
      <alignment vertical="center"/>
    </xf>
    <xf borderId="51" fillId="0" fontId="4" numFmtId="0" xfId="0" applyAlignment="1" applyBorder="1" applyFont="1">
      <alignment vertical="center"/>
    </xf>
    <xf borderId="15" fillId="0" fontId="41" numFmtId="0" xfId="0" applyAlignment="1" applyBorder="1" applyFont="1">
      <alignment horizontal="center" vertical="center"/>
    </xf>
    <xf borderId="52" fillId="10" fontId="42" numFmtId="0" xfId="0" applyAlignment="1" applyBorder="1" applyFont="1">
      <alignment horizontal="center" shrinkToFit="0" vertical="center" wrapText="1"/>
    </xf>
    <xf borderId="41" fillId="10" fontId="42" numFmtId="9" xfId="0" applyAlignment="1" applyBorder="1" applyFont="1" applyNumberFormat="1">
      <alignment horizontal="center" shrinkToFit="0" vertical="center" wrapText="1"/>
    </xf>
    <xf borderId="6" fillId="10" fontId="42" numFmtId="9" xfId="0" applyAlignment="1" applyBorder="1" applyFont="1" applyNumberFormat="1">
      <alignment horizontal="center" shrinkToFit="0" vertical="center" wrapText="1"/>
    </xf>
    <xf borderId="41" fillId="0" fontId="4" numFmtId="0" xfId="0" applyAlignment="1" applyBorder="1" applyFont="1">
      <alignment vertical="center"/>
    </xf>
    <xf borderId="53" fillId="10" fontId="42" numFmtId="0" xfId="0" applyAlignment="1" applyBorder="1" applyFont="1">
      <alignment horizontal="center" readingOrder="0" shrinkToFit="0" vertical="center" wrapText="1"/>
    </xf>
    <xf borderId="51" fillId="10" fontId="42" numFmtId="0" xfId="0" applyAlignment="1" applyBorder="1" applyFont="1">
      <alignment horizontal="center" shrinkToFit="0" vertical="center" wrapText="1"/>
    </xf>
    <xf borderId="21" fillId="0" fontId="41" numFmtId="0" xfId="0" applyAlignment="1" applyBorder="1" applyFont="1">
      <alignment horizontal="center" readingOrder="0" vertical="center"/>
    </xf>
    <xf borderId="42" fillId="0" fontId="41" numFmtId="0" xfId="0" applyAlignment="1" applyBorder="1" applyFont="1">
      <alignment horizontal="center" vertical="center"/>
    </xf>
    <xf borderId="45" fillId="10" fontId="42" numFmtId="9" xfId="0" applyAlignment="1" applyBorder="1" applyFont="1" applyNumberFormat="1">
      <alignment horizontal="center" readingOrder="0" shrinkToFit="0" vertical="center" wrapText="1"/>
    </xf>
    <xf borderId="45" fillId="0" fontId="4" numFmtId="0" xfId="0" applyAlignment="1" applyBorder="1" applyFont="1">
      <alignment vertical="center"/>
    </xf>
    <xf borderId="54" fillId="0" fontId="4" numFmtId="0" xfId="0" applyAlignment="1" applyBorder="1" applyFont="1">
      <alignment vertical="center"/>
    </xf>
    <xf borderId="55" fillId="0" fontId="4" numFmtId="0" xfId="0" applyAlignment="1" applyBorder="1" applyFont="1">
      <alignment vertical="center"/>
    </xf>
    <xf borderId="56" fillId="0" fontId="4" numFmtId="0" xfId="0" applyAlignment="1" applyBorder="1" applyFont="1">
      <alignment vertical="center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2.png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2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1.png"/><Relationship Id="rId3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219075</xdr:colOff>
      <xdr:row>0</xdr:row>
      <xdr:rowOff>180975</xdr:rowOff>
    </xdr:from>
    <xdr:ext cx="1600200" cy="685800"/>
    <xdr:pic>
      <xdr:nvPicPr>
        <xdr:cNvPr id="0" name="image3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3</xdr:col>
      <xdr:colOff>1819275</xdr:colOff>
      <xdr:row>1</xdr:row>
      <xdr:rowOff>76200</xdr:rowOff>
    </xdr:from>
    <xdr:ext cx="809625" cy="485775"/>
    <xdr:pic>
      <xdr:nvPicPr>
        <xdr:cNvPr id="0" name="image1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523875</xdr:colOff>
      <xdr:row>1</xdr:row>
      <xdr:rowOff>38100</xdr:rowOff>
    </xdr:from>
    <xdr:ext cx="1104900" cy="590550"/>
    <xdr:pic>
      <xdr:nvPicPr>
        <xdr:cNvPr id="0" name="image2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885825</xdr:colOff>
      <xdr:row>0</xdr:row>
      <xdr:rowOff>0</xdr:rowOff>
    </xdr:from>
    <xdr:ext cx="2124075" cy="904875"/>
    <xdr:pic>
      <xdr:nvPicPr>
        <xdr:cNvPr id="0" name="image3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6</xdr:col>
      <xdr:colOff>676275</xdr:colOff>
      <xdr:row>0</xdr:row>
      <xdr:rowOff>95250</xdr:rowOff>
    </xdr:from>
    <xdr:ext cx="1190625" cy="714375"/>
    <xdr:pic>
      <xdr:nvPicPr>
        <xdr:cNvPr id="0" name="image1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180975</xdr:colOff>
      <xdr:row>0</xdr:row>
      <xdr:rowOff>95250</xdr:rowOff>
    </xdr:from>
    <xdr:ext cx="1533525" cy="800100"/>
    <xdr:pic>
      <xdr:nvPicPr>
        <xdr:cNvPr id="0" name="image2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1076325</xdr:colOff>
      <xdr:row>0</xdr:row>
      <xdr:rowOff>47625</xdr:rowOff>
    </xdr:from>
    <xdr:ext cx="2124075" cy="904875"/>
    <xdr:pic>
      <xdr:nvPicPr>
        <xdr:cNvPr id="0" name="image3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819150</xdr:colOff>
      <xdr:row>0</xdr:row>
      <xdr:rowOff>152400</xdr:rowOff>
    </xdr:from>
    <xdr:ext cx="1190625" cy="714375"/>
    <xdr:pic>
      <xdr:nvPicPr>
        <xdr:cNvPr id="0" name="image1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523875</xdr:colOff>
      <xdr:row>0</xdr:row>
      <xdr:rowOff>104775</xdr:rowOff>
    </xdr:from>
    <xdr:ext cx="1533525" cy="800100"/>
    <xdr:pic>
      <xdr:nvPicPr>
        <xdr:cNvPr id="0" name="image2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1076325</xdr:colOff>
      <xdr:row>0</xdr:row>
      <xdr:rowOff>47625</xdr:rowOff>
    </xdr:from>
    <xdr:ext cx="2124075" cy="904875"/>
    <xdr:pic>
      <xdr:nvPicPr>
        <xdr:cNvPr id="0" name="image3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24</xdr:col>
      <xdr:colOff>28575</xdr:colOff>
      <xdr:row>0</xdr:row>
      <xdr:rowOff>200025</xdr:rowOff>
    </xdr:from>
    <xdr:ext cx="1190625" cy="714375"/>
    <xdr:pic>
      <xdr:nvPicPr>
        <xdr:cNvPr id="0" name="image1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200025</xdr:colOff>
      <xdr:row>0</xdr:row>
      <xdr:rowOff>161925</xdr:rowOff>
    </xdr:from>
    <xdr:ext cx="1533525" cy="800100"/>
    <xdr:pic>
      <xdr:nvPicPr>
        <xdr:cNvPr id="0" name="image2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1076325</xdr:colOff>
      <xdr:row>0</xdr:row>
      <xdr:rowOff>47625</xdr:rowOff>
    </xdr:from>
    <xdr:ext cx="2124075" cy="904875"/>
    <xdr:pic>
      <xdr:nvPicPr>
        <xdr:cNvPr id="0" name="image3.png" title="Imagem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23</xdr:col>
      <xdr:colOff>685800</xdr:colOff>
      <xdr:row>0</xdr:row>
      <xdr:rowOff>152400</xdr:rowOff>
    </xdr:from>
    <xdr:ext cx="1190625" cy="714375"/>
    <xdr:pic>
      <xdr:nvPicPr>
        <xdr:cNvPr id="0" name="image1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20</xdr:col>
      <xdr:colOff>695325</xdr:colOff>
      <xdr:row>0</xdr:row>
      <xdr:rowOff>114300</xdr:rowOff>
    </xdr:from>
    <xdr:ext cx="1533525" cy="800100"/>
    <xdr:pic>
      <xdr:nvPicPr>
        <xdr:cNvPr id="0" name="image2.png" title="Imagem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https://docs.google.com/spreadsheets/u/0/d/1-OIFZAMgUVv3wEMQ7w_Y_wtEvjRJ2fDeyddXv2-UYh4/edit" TargetMode="External"/><Relationship Id="rId22" Type="http://schemas.openxmlformats.org/officeDocument/2006/relationships/hyperlink" Target="https://docs.google.com/spreadsheets/u/0/d/1dHFMn55KvSulHnG2XRZ0Z4enXWJXCEEemrP3y000yB0/edit" TargetMode="External"/><Relationship Id="rId21" Type="http://schemas.openxmlformats.org/officeDocument/2006/relationships/hyperlink" Target="https://docs.google.com/spreadsheets/u/0/d/1xX11LYuBANJQivD8Aky9NJgY8ehYrz2NPaRyEOqgmF0/edit" TargetMode="External"/><Relationship Id="rId24" Type="http://schemas.openxmlformats.org/officeDocument/2006/relationships/hyperlink" Target="https://docs.google.com/spreadsheets/u/0/d/15dkb55nIkFpQ11VhQ-4C1QOtdgMLKnqjZkJ39be1IMY/edit" TargetMode="External"/><Relationship Id="rId23" Type="http://schemas.openxmlformats.org/officeDocument/2006/relationships/hyperlink" Target="https://docs.google.com/spreadsheets/u/0/d/13ozTUiui8wiliV3muJ6VSQ82GwDb-nJLsUddKX4Mekg/edit" TargetMode="External"/><Relationship Id="rId1" Type="http://schemas.openxmlformats.org/officeDocument/2006/relationships/hyperlink" Target="https://docs.google.com/spreadsheets/u/0/d/1MzT49v3YGmWaUN-svtblEnxq1TRu9RxFamUsOQMSDlU/edit" TargetMode="External"/><Relationship Id="rId2" Type="http://schemas.openxmlformats.org/officeDocument/2006/relationships/hyperlink" Target="https://docs.google.com/spreadsheets/u/0/d/1CPcLzKaYiBVvQY81ZRAdxE8kQHIcYieaaQe5uJbMkWw/edit" TargetMode="External"/><Relationship Id="rId3" Type="http://schemas.openxmlformats.org/officeDocument/2006/relationships/hyperlink" Target="https://docs.google.com/spreadsheets/u/0/d/1p1VaNzIXpB4D5vXlYFm1Ca8i3Oxuw_a9jvjrzhia3zU/edit" TargetMode="External"/><Relationship Id="rId4" Type="http://schemas.openxmlformats.org/officeDocument/2006/relationships/hyperlink" Target="https://docs.google.com/spreadsheets/u/0/d/1p1VaNzIXpB4D5vXlYFm1Ca8i3Oxuw_a9jvjrzhia3zU/edit" TargetMode="External"/><Relationship Id="rId9" Type="http://schemas.openxmlformats.org/officeDocument/2006/relationships/hyperlink" Target="https://docs.google.com/spreadsheets/u/0/d/1zfj7p_aQJCNjkGlFwwWQuE7zIZaUVzESMpDO9Hhu41k/edit" TargetMode="External"/><Relationship Id="rId26" Type="http://schemas.openxmlformats.org/officeDocument/2006/relationships/hyperlink" Target="https://docs.google.com/spreadsheets/u/0/d/1uRUfiQbUsnJnOPG87DSWaEU1EtbNE4ZAmmG4W4P8mgg/edit" TargetMode="External"/><Relationship Id="rId25" Type="http://schemas.openxmlformats.org/officeDocument/2006/relationships/hyperlink" Target="https://docs.google.com/spreadsheets/u/0/d/1eax8tHsE7VznBjOLK6pcT0qK02rZvAr88zuyeA48b8A/edit" TargetMode="External"/><Relationship Id="rId28" Type="http://schemas.openxmlformats.org/officeDocument/2006/relationships/hyperlink" Target="https://docs.google.com/spreadsheets/u/0/d/1LjKYaprD9FlmLveyXxaqRl8ubOBiYTvo0RBef9Woh78/edit" TargetMode="External"/><Relationship Id="rId27" Type="http://schemas.openxmlformats.org/officeDocument/2006/relationships/hyperlink" Target="https://docs.google.com/spreadsheets/u/0/d/1GmG2VGvgzSKd1L_zuBfJVcqsq1JFhOevpCg-1abPo-A/edit" TargetMode="External"/><Relationship Id="rId5" Type="http://schemas.openxmlformats.org/officeDocument/2006/relationships/hyperlink" Target="https://docs.google.com/spreadsheets/u/0/d/1PKVyGoRQpNfD1xH8uAHIBxAE3pfSSogUBRBkOO7zx44/edit" TargetMode="External"/><Relationship Id="rId6" Type="http://schemas.openxmlformats.org/officeDocument/2006/relationships/hyperlink" Target="https://docs.google.com/spreadsheets/u/0/d/1ZaA_P4WVeURHa2oXXz53eYE8PzmxuDyPuTjKWpDUGQY/edit" TargetMode="External"/><Relationship Id="rId29" Type="http://schemas.openxmlformats.org/officeDocument/2006/relationships/hyperlink" Target="https://docs.google.com/spreadsheets/u/0/d/14m9i6vbOyQ91bH69RGOY6Iwc5fKsfhFGprJ_gP9-5Mk/edit" TargetMode="External"/><Relationship Id="rId7" Type="http://schemas.openxmlformats.org/officeDocument/2006/relationships/hyperlink" Target="https://docs.google.com/spreadsheets/u/0/d/1DhM6oCW-HQJZyNoF1KnjFTdeaOn_OFTTTewaSHBDWiQ/edit" TargetMode="External"/><Relationship Id="rId8" Type="http://schemas.openxmlformats.org/officeDocument/2006/relationships/hyperlink" Target="https://docs.google.com/spreadsheets/u/0/d/1CuI1pQtEshXM0ogEkRLK_Kb34XgpgLV74aUd721TyiU/edit" TargetMode="External"/><Relationship Id="rId31" Type="http://schemas.openxmlformats.org/officeDocument/2006/relationships/hyperlink" Target="https://docs.google.com/spreadsheets/u/0/d/1eS9_gL8rb66m01lbjf2JVLfzS0bAMFal3ofdjOxaLko/edit" TargetMode="External"/><Relationship Id="rId30" Type="http://schemas.openxmlformats.org/officeDocument/2006/relationships/hyperlink" Target="https://docs.google.com/spreadsheets/d/14nIpqCaWNZqyS2gChwNjxDLknEuK2n0t0FC4PC9ycmU/edit?usp=drive_link" TargetMode="External"/><Relationship Id="rId11" Type="http://schemas.openxmlformats.org/officeDocument/2006/relationships/hyperlink" Target="https://docs.google.com/spreadsheets/u/0/d/1vEeaCdnppFr9JJtm1dh2F9hqVj2VIgjV3cwgdRLOKlc/edit" TargetMode="External"/><Relationship Id="rId33" Type="http://schemas.openxmlformats.org/officeDocument/2006/relationships/hyperlink" Target="https://docs.google.com/spreadsheets/u/0/d/1xEjuiaXKZ49mY2yqGywEWdxLkbVwh3yyqtubeGk5Nu4/edit" TargetMode="External"/><Relationship Id="rId10" Type="http://schemas.openxmlformats.org/officeDocument/2006/relationships/hyperlink" Target="https://docs.google.com/spreadsheets/u/0/d/1uaSdxj0KuH9UOO5ilfGaMvq2aZZWnybuZ6HAqZQO7jY/edit" TargetMode="External"/><Relationship Id="rId32" Type="http://schemas.openxmlformats.org/officeDocument/2006/relationships/hyperlink" Target="https://docs.google.com/spreadsheets/d/1_gqQWU7tPcdCx1Gce0twD81wYEsC5LeV1Ap0eOx3Kw0/edit?usp=drive_link" TargetMode="External"/><Relationship Id="rId13" Type="http://schemas.openxmlformats.org/officeDocument/2006/relationships/hyperlink" Target="https://docs.google.com/spreadsheets/u/0/d/1IHKNjx_2PJMKOuLHn965cTOwr7-eTzlIGS72h5bluaE/edit" TargetMode="External"/><Relationship Id="rId35" Type="http://schemas.openxmlformats.org/officeDocument/2006/relationships/hyperlink" Target="https://docs.google.com/spreadsheets/u/0/d/1xWE0RRKjDnSaHdZtC7I3LliWKeLDtE2lX_qS50XnDyI/edit" TargetMode="External"/><Relationship Id="rId12" Type="http://schemas.openxmlformats.org/officeDocument/2006/relationships/hyperlink" Target="https://docs.google.com/spreadsheets/u/0/d/1pCRylU6gGO_5NIja0eh0sQdg7Y4LDsD9nnVmOHJ0twE/edit" TargetMode="External"/><Relationship Id="rId34" Type="http://schemas.openxmlformats.org/officeDocument/2006/relationships/hyperlink" Target="https://docs.google.com/spreadsheets/u/0/d/1FP7fTkF_GlwTleSP1cbRrw-DXXmlwlvH54T-IN7Ugmw/edit" TargetMode="External"/><Relationship Id="rId15" Type="http://schemas.openxmlformats.org/officeDocument/2006/relationships/hyperlink" Target="https://docs.google.com/spreadsheets/u/0/d/1xWUH613Zp3bGSDiQE5BdPZi4fnRqhdqHeRjOu4aIK6k/edit" TargetMode="External"/><Relationship Id="rId37" Type="http://schemas.openxmlformats.org/officeDocument/2006/relationships/hyperlink" Target="https://docs.google.com/spreadsheets/u/0/d/1ZNbVasIaD21khV4caZ_AsrmPKw3wAidj7ciw5Ubqsqw/edit" TargetMode="External"/><Relationship Id="rId14" Type="http://schemas.openxmlformats.org/officeDocument/2006/relationships/hyperlink" Target="https://docs.google.com/spreadsheets/u/0/d/1IY1AFZOiChWZx82dbPpI3gknP1bBpIV15786X-U12oU/edit" TargetMode="External"/><Relationship Id="rId36" Type="http://schemas.openxmlformats.org/officeDocument/2006/relationships/hyperlink" Target="https://docs.google.com/spreadsheets/u/0/d/1YNWIgtoCCJdNQWQAajBO1N8F2dd6EiJ2NvFnFzsUGA4/edit" TargetMode="External"/><Relationship Id="rId17" Type="http://schemas.openxmlformats.org/officeDocument/2006/relationships/hyperlink" Target="https://docs.google.com/spreadsheets/u/0/d/1qy6lUDlrlsP88djvlJmYefubimwta-7aJ-fRyEU88Pc/edit" TargetMode="External"/><Relationship Id="rId16" Type="http://schemas.openxmlformats.org/officeDocument/2006/relationships/hyperlink" Target="https://docs.google.com/spreadsheets/u/0/d/1LSuHU4-UvHPP8HzCTBkV6Mf8rV5wIyq1msydbc3lH2U/edit" TargetMode="External"/><Relationship Id="rId38" Type="http://schemas.openxmlformats.org/officeDocument/2006/relationships/drawing" Target="../drawings/drawing1.xml"/><Relationship Id="rId19" Type="http://schemas.openxmlformats.org/officeDocument/2006/relationships/hyperlink" Target="https://docs.google.com/spreadsheets/u/0/d/1ezZT-61tgj0ATXiJ4qNEEsCOMa40rYOJHvlfPqikLx8/edit" TargetMode="External"/><Relationship Id="rId18" Type="http://schemas.openxmlformats.org/officeDocument/2006/relationships/hyperlink" Target="https://docs.google.com/spreadsheets/u/0/d/1lDkFN3QCisfnmEeclUcPXstxTEPxoUoV7tuuH0dNi-c/edit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1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0"/>
  <cols>
    <col customWidth="1" min="1" max="1" width="27.0"/>
    <col customWidth="1" min="2" max="2" width="15.25"/>
    <col customWidth="1" min="3" max="3" width="33.38"/>
    <col customWidth="1" min="4" max="4" width="29.75"/>
    <col customWidth="1" min="5" max="5" width="22.13"/>
  </cols>
  <sheetData>
    <row r="1">
      <c r="A1" s="1" t="s">
        <v>0</v>
      </c>
      <c r="F1" s="2" t="s">
        <v>1</v>
      </c>
      <c r="H1" s="2"/>
      <c r="I1" s="3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H2" s="2" t="s">
        <v>2</v>
      </c>
      <c r="I2" s="3" t="s">
        <v>3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H3" s="2"/>
      <c r="I3" s="3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H4" s="5">
        <f>COUNTIFS(E:E,"SIM",B:B,F5)</f>
        <v>3</v>
      </c>
      <c r="I4" s="6">
        <f>COUNTIFS(E:E,"NÃO",B:B,F5)</f>
        <v>6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33.75" customHeight="1">
      <c r="F5" s="7" t="s">
        <v>4</v>
      </c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8" t="s">
        <v>5</v>
      </c>
      <c r="B6" s="8" t="s">
        <v>6</v>
      </c>
      <c r="C6" s="9" t="s">
        <v>7</v>
      </c>
      <c r="D6" s="8" t="s">
        <v>8</v>
      </c>
      <c r="E6" s="10" t="s">
        <v>9</v>
      </c>
      <c r="F6" s="10" t="s">
        <v>10</v>
      </c>
      <c r="G6" s="11" t="s">
        <v>11</v>
      </c>
      <c r="H6" s="12" t="s">
        <v>12</v>
      </c>
      <c r="I6" s="11" t="s">
        <v>13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13"/>
      <c r="B7" s="13"/>
      <c r="C7" s="14">
        <f>SUM(C8:C33)</f>
        <v>15</v>
      </c>
      <c r="D7" s="15" t="s">
        <v>14</v>
      </c>
      <c r="E7" s="13"/>
      <c r="F7" s="13"/>
      <c r="G7" s="13"/>
      <c r="H7" s="13"/>
      <c r="I7" s="13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16" t="s">
        <v>15</v>
      </c>
      <c r="B8" s="17" t="s">
        <v>16</v>
      </c>
      <c r="C8" s="18"/>
      <c r="D8" s="17" t="s">
        <v>17</v>
      </c>
      <c r="E8" s="19" t="s">
        <v>18</v>
      </c>
      <c r="F8" s="20"/>
      <c r="G8" s="20"/>
      <c r="H8" s="20"/>
      <c r="I8" s="20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16" t="s">
        <v>19</v>
      </c>
      <c r="B9" s="17" t="s">
        <v>16</v>
      </c>
      <c r="C9" s="19">
        <v>1.0</v>
      </c>
      <c r="D9" s="21" t="s">
        <v>20</v>
      </c>
      <c r="E9" s="19" t="s">
        <v>18</v>
      </c>
      <c r="F9" s="22" t="s">
        <v>18</v>
      </c>
      <c r="G9" s="22" t="s">
        <v>21</v>
      </c>
      <c r="H9" s="22" t="s">
        <v>21</v>
      </c>
      <c r="I9" s="20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16" t="s">
        <v>22</v>
      </c>
      <c r="B10" s="17" t="s">
        <v>16</v>
      </c>
      <c r="C10" s="18"/>
      <c r="D10" s="21" t="s">
        <v>23</v>
      </c>
      <c r="E10" s="19" t="s">
        <v>18</v>
      </c>
      <c r="F10" s="20"/>
      <c r="G10" s="20"/>
      <c r="H10" s="20"/>
      <c r="I10" s="20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16" t="s">
        <v>24</v>
      </c>
      <c r="B11" s="17" t="s">
        <v>16</v>
      </c>
      <c r="C11" s="18"/>
      <c r="D11" s="21" t="s">
        <v>25</v>
      </c>
      <c r="E11" s="19" t="s">
        <v>18</v>
      </c>
      <c r="F11" s="20"/>
      <c r="G11" s="20"/>
      <c r="H11" s="20"/>
      <c r="I11" s="20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16" t="s">
        <v>26</v>
      </c>
      <c r="B12" s="17" t="s">
        <v>16</v>
      </c>
      <c r="C12" s="18"/>
      <c r="D12" s="17" t="s">
        <v>27</v>
      </c>
      <c r="E12" s="19" t="s">
        <v>18</v>
      </c>
      <c r="F12" s="20"/>
      <c r="G12" s="20"/>
      <c r="H12" s="20"/>
      <c r="I12" s="20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16" t="s">
        <v>28</v>
      </c>
      <c r="B13" s="17" t="s">
        <v>16</v>
      </c>
      <c r="C13" s="18"/>
      <c r="D13" s="21" t="s">
        <v>29</v>
      </c>
      <c r="E13" s="19" t="s">
        <v>21</v>
      </c>
      <c r="F13" s="20"/>
      <c r="G13" s="20"/>
      <c r="H13" s="20"/>
      <c r="I13" s="20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16" t="s">
        <v>30</v>
      </c>
      <c r="B14" s="17" t="s">
        <v>16</v>
      </c>
      <c r="C14" s="18"/>
      <c r="D14" s="17" t="s">
        <v>31</v>
      </c>
      <c r="E14" s="19" t="s">
        <v>18</v>
      </c>
      <c r="F14" s="20"/>
      <c r="G14" s="20"/>
      <c r="H14" s="20"/>
      <c r="I14" s="20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16" t="s">
        <v>32</v>
      </c>
      <c r="B15" s="17" t="s">
        <v>16</v>
      </c>
      <c r="C15" s="18"/>
      <c r="D15" s="17" t="s">
        <v>33</v>
      </c>
      <c r="E15" s="19" t="s">
        <v>18</v>
      </c>
      <c r="F15" s="20"/>
      <c r="G15" s="20"/>
      <c r="H15" s="20"/>
      <c r="I15" s="20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16" t="s">
        <v>34</v>
      </c>
      <c r="B16" s="17" t="s">
        <v>16</v>
      </c>
      <c r="C16" s="19">
        <v>1.0</v>
      </c>
      <c r="D16" s="21" t="s">
        <v>35</v>
      </c>
      <c r="E16" s="19" t="s">
        <v>18</v>
      </c>
      <c r="F16" s="22" t="s">
        <v>18</v>
      </c>
      <c r="G16" s="22" t="s">
        <v>21</v>
      </c>
      <c r="H16" s="22" t="s">
        <v>21</v>
      </c>
      <c r="I16" s="22" t="s">
        <v>21</v>
      </c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16" t="s">
        <v>36</v>
      </c>
      <c r="B17" s="17" t="s">
        <v>16</v>
      </c>
      <c r="C17" s="19">
        <v>1.0</v>
      </c>
      <c r="D17" s="21" t="s">
        <v>37</v>
      </c>
      <c r="E17" s="19" t="s">
        <v>18</v>
      </c>
      <c r="F17" s="22" t="s">
        <v>18</v>
      </c>
      <c r="G17" s="22" t="s">
        <v>21</v>
      </c>
      <c r="H17" s="22" t="s">
        <v>21</v>
      </c>
      <c r="I17" s="22" t="s">
        <v>21</v>
      </c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16" t="s">
        <v>38</v>
      </c>
      <c r="B18" s="17" t="s">
        <v>16</v>
      </c>
      <c r="C18" s="19">
        <v>1.0</v>
      </c>
      <c r="D18" s="21" t="s">
        <v>39</v>
      </c>
      <c r="E18" s="19" t="s">
        <v>18</v>
      </c>
      <c r="F18" s="22" t="s">
        <v>18</v>
      </c>
      <c r="G18" s="22" t="s">
        <v>21</v>
      </c>
      <c r="H18" s="22" t="s">
        <v>21</v>
      </c>
      <c r="I18" s="22" t="s">
        <v>21</v>
      </c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16" t="s">
        <v>40</v>
      </c>
      <c r="B19" s="17" t="s">
        <v>16</v>
      </c>
      <c r="C19" s="19">
        <v>1.0</v>
      </c>
      <c r="D19" s="21" t="s">
        <v>41</v>
      </c>
      <c r="E19" s="19" t="s">
        <v>18</v>
      </c>
      <c r="F19" s="22" t="s">
        <v>18</v>
      </c>
      <c r="G19" s="22" t="s">
        <v>21</v>
      </c>
      <c r="H19" s="22" t="s">
        <v>21</v>
      </c>
      <c r="I19" s="22" t="s">
        <v>21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23" t="s">
        <v>42</v>
      </c>
      <c r="B20" s="17" t="s">
        <v>16</v>
      </c>
      <c r="C20" s="19">
        <v>1.0</v>
      </c>
      <c r="D20" s="21" t="s">
        <v>43</v>
      </c>
      <c r="E20" s="19" t="s">
        <v>18</v>
      </c>
      <c r="F20" s="22" t="s">
        <v>18</v>
      </c>
      <c r="G20" s="22" t="s">
        <v>21</v>
      </c>
      <c r="H20" s="22" t="s">
        <v>21</v>
      </c>
      <c r="I20" s="22" t="s">
        <v>21</v>
      </c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23" t="s">
        <v>44</v>
      </c>
      <c r="B21" s="17" t="s">
        <v>16</v>
      </c>
      <c r="C21" s="19">
        <v>1.0</v>
      </c>
      <c r="D21" s="21" t="s">
        <v>45</v>
      </c>
      <c r="E21" s="19" t="s">
        <v>18</v>
      </c>
      <c r="F21" s="22" t="s">
        <v>18</v>
      </c>
      <c r="G21" s="22" t="s">
        <v>21</v>
      </c>
      <c r="H21" s="22" t="s">
        <v>21</v>
      </c>
      <c r="I21" s="22" t="s">
        <v>21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23" t="s">
        <v>46</v>
      </c>
      <c r="B22" s="17" t="s">
        <v>16</v>
      </c>
      <c r="C22" s="19">
        <v>1.0</v>
      </c>
      <c r="D22" s="21" t="s">
        <v>47</v>
      </c>
      <c r="E22" s="19" t="s">
        <v>18</v>
      </c>
      <c r="F22" s="22" t="s">
        <v>18</v>
      </c>
      <c r="G22" s="22" t="s">
        <v>21</v>
      </c>
      <c r="H22" s="22" t="s">
        <v>21</v>
      </c>
      <c r="I22" s="22" t="s">
        <v>21</v>
      </c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23" t="s">
        <v>48</v>
      </c>
      <c r="B23" s="17" t="s">
        <v>16</v>
      </c>
      <c r="C23" s="19">
        <v>1.0</v>
      </c>
      <c r="D23" s="21" t="s">
        <v>47</v>
      </c>
      <c r="E23" s="19" t="s">
        <v>18</v>
      </c>
      <c r="F23" s="22" t="s">
        <v>21</v>
      </c>
      <c r="G23" s="22" t="s">
        <v>21</v>
      </c>
      <c r="H23" s="22" t="s">
        <v>21</v>
      </c>
      <c r="I23" s="22" t="s">
        <v>21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23" t="s">
        <v>49</v>
      </c>
      <c r="B24" s="17" t="s">
        <v>16</v>
      </c>
      <c r="C24" s="19"/>
      <c r="D24" s="21" t="s">
        <v>47</v>
      </c>
      <c r="E24" s="19" t="s">
        <v>18</v>
      </c>
      <c r="F24" s="22" t="s">
        <v>21</v>
      </c>
      <c r="G24" s="22" t="s">
        <v>21</v>
      </c>
      <c r="H24" s="22" t="s">
        <v>21</v>
      </c>
      <c r="I24" s="22" t="s">
        <v>21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23" t="s">
        <v>50</v>
      </c>
      <c r="B25" s="21" t="s">
        <v>16</v>
      </c>
      <c r="C25" s="19">
        <v>1.0</v>
      </c>
      <c r="D25" s="21" t="s">
        <v>47</v>
      </c>
      <c r="E25" s="19" t="s">
        <v>18</v>
      </c>
      <c r="F25" s="22" t="s">
        <v>18</v>
      </c>
      <c r="G25" s="22" t="s">
        <v>21</v>
      </c>
      <c r="H25" s="22" t="s">
        <v>21</v>
      </c>
      <c r="I25" s="22" t="s">
        <v>21</v>
      </c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23" t="s">
        <v>51</v>
      </c>
      <c r="B26" s="21" t="s">
        <v>16</v>
      </c>
      <c r="C26" s="19">
        <v>1.0</v>
      </c>
      <c r="D26" s="21" t="s">
        <v>47</v>
      </c>
      <c r="E26" s="19" t="s">
        <v>18</v>
      </c>
      <c r="F26" s="22" t="s">
        <v>18</v>
      </c>
      <c r="G26" s="22" t="s">
        <v>21</v>
      </c>
      <c r="H26" s="22" t="s">
        <v>21</v>
      </c>
      <c r="I26" s="22" t="s">
        <v>21</v>
      </c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23" t="s">
        <v>52</v>
      </c>
      <c r="B27" s="21" t="s">
        <v>16</v>
      </c>
      <c r="C27" s="19">
        <v>1.0</v>
      </c>
      <c r="D27" s="21" t="s">
        <v>53</v>
      </c>
      <c r="E27" s="19" t="s">
        <v>21</v>
      </c>
      <c r="F27" s="22" t="s">
        <v>18</v>
      </c>
      <c r="G27" s="22" t="s">
        <v>21</v>
      </c>
      <c r="H27" s="22" t="s">
        <v>21</v>
      </c>
      <c r="I27" s="22" t="s">
        <v>21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23" t="s">
        <v>54</v>
      </c>
      <c r="B28" s="21" t="s">
        <v>16</v>
      </c>
      <c r="C28" s="19">
        <v>1.0</v>
      </c>
      <c r="D28" s="21" t="s">
        <v>55</v>
      </c>
      <c r="E28" s="19" t="s">
        <v>18</v>
      </c>
      <c r="F28" s="22" t="s">
        <v>18</v>
      </c>
      <c r="G28" s="22" t="s">
        <v>21</v>
      </c>
      <c r="H28" s="22" t="s">
        <v>21</v>
      </c>
      <c r="I28" s="22" t="s">
        <v>21</v>
      </c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23" t="s">
        <v>56</v>
      </c>
      <c r="B29" s="21" t="s">
        <v>16</v>
      </c>
      <c r="C29" s="19">
        <v>1.0</v>
      </c>
      <c r="D29" s="21" t="s">
        <v>55</v>
      </c>
      <c r="E29" s="19" t="s">
        <v>18</v>
      </c>
      <c r="F29" s="22" t="s">
        <v>18</v>
      </c>
      <c r="G29" s="22" t="s">
        <v>21</v>
      </c>
      <c r="H29" s="22" t="s">
        <v>21</v>
      </c>
      <c r="I29" s="22" t="s">
        <v>21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23" t="s">
        <v>57</v>
      </c>
      <c r="B30" s="21" t="s">
        <v>16</v>
      </c>
      <c r="C30" s="19">
        <v>1.0</v>
      </c>
      <c r="D30" s="21" t="s">
        <v>55</v>
      </c>
      <c r="E30" s="19" t="s">
        <v>18</v>
      </c>
      <c r="F30" s="22" t="s">
        <v>18</v>
      </c>
      <c r="G30" s="22" t="s">
        <v>21</v>
      </c>
      <c r="H30" s="22" t="s">
        <v>21</v>
      </c>
      <c r="I30" s="22" t="s">
        <v>21</v>
      </c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23" t="s">
        <v>58</v>
      </c>
      <c r="B31" s="21" t="s">
        <v>16</v>
      </c>
      <c r="C31" s="19">
        <v>0.0</v>
      </c>
      <c r="D31" s="21" t="s">
        <v>59</v>
      </c>
      <c r="E31" s="19"/>
      <c r="F31" s="20"/>
      <c r="G31" s="20"/>
      <c r="H31" s="20"/>
      <c r="I31" s="20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16" t="s">
        <v>60</v>
      </c>
      <c r="B32" s="17" t="s">
        <v>16</v>
      </c>
      <c r="C32" s="18"/>
      <c r="D32" s="21" t="s">
        <v>61</v>
      </c>
      <c r="E32" s="19" t="s">
        <v>21</v>
      </c>
      <c r="F32" s="20"/>
      <c r="G32" s="20"/>
      <c r="H32" s="20"/>
      <c r="I32" s="20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16" t="s">
        <v>62</v>
      </c>
      <c r="B33" s="17" t="s">
        <v>4</v>
      </c>
      <c r="C33" s="18"/>
      <c r="D33" s="21" t="s">
        <v>63</v>
      </c>
      <c r="E33" s="19" t="s">
        <v>18</v>
      </c>
      <c r="F33" s="20"/>
      <c r="G33" s="20"/>
      <c r="H33" s="20"/>
      <c r="I33" s="20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23"/>
      <c r="B34" s="17"/>
      <c r="C34" s="18"/>
      <c r="D34" s="21"/>
      <c r="E34" s="18"/>
      <c r="F34" s="20"/>
      <c r="G34" s="20"/>
      <c r="H34" s="20"/>
      <c r="I34" s="20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18"/>
      <c r="B35" s="17"/>
      <c r="C35" s="20"/>
      <c r="D35" s="20"/>
      <c r="E35" s="18"/>
      <c r="F35" s="20"/>
      <c r="G35" s="20"/>
      <c r="H35" s="20"/>
      <c r="I35" s="20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24"/>
      <c r="B36" s="24"/>
      <c r="C36" s="25">
        <f>SUM(C37:C54)</f>
        <v>3</v>
      </c>
      <c r="D36" s="25" t="s">
        <v>64</v>
      </c>
      <c r="E36" s="26"/>
      <c r="F36" s="24"/>
      <c r="G36" s="24"/>
      <c r="H36" s="24"/>
      <c r="I36" s="2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27" t="s">
        <v>65</v>
      </c>
      <c r="B37" s="28" t="s">
        <v>66</v>
      </c>
      <c r="C37" s="29"/>
      <c r="D37" s="28" t="s">
        <v>67</v>
      </c>
      <c r="E37" s="18"/>
      <c r="F37" s="20"/>
      <c r="G37" s="20"/>
      <c r="H37" s="20"/>
      <c r="I37" s="20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30"/>
      <c r="B38" s="28" t="s">
        <v>66</v>
      </c>
      <c r="C38" s="29"/>
      <c r="D38" s="28" t="s">
        <v>68</v>
      </c>
      <c r="E38" s="18"/>
      <c r="F38" s="20"/>
      <c r="G38" s="20"/>
      <c r="H38" s="20"/>
      <c r="I38" s="20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31" t="s">
        <v>69</v>
      </c>
      <c r="B39" s="28" t="s">
        <v>66</v>
      </c>
      <c r="C39" s="29"/>
      <c r="D39" s="32" t="s">
        <v>69</v>
      </c>
      <c r="E39" s="18"/>
      <c r="F39" s="20"/>
      <c r="G39" s="20"/>
      <c r="H39" s="20"/>
      <c r="I39" s="20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31" t="s">
        <v>70</v>
      </c>
      <c r="B40" s="28" t="s">
        <v>66</v>
      </c>
      <c r="C40" s="29"/>
      <c r="D40" s="28" t="s">
        <v>71</v>
      </c>
      <c r="E40" s="18"/>
      <c r="F40" s="20"/>
      <c r="G40" s="20"/>
      <c r="H40" s="20"/>
      <c r="I40" s="20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31" t="s">
        <v>72</v>
      </c>
      <c r="B41" s="28" t="s">
        <v>66</v>
      </c>
      <c r="C41" s="29"/>
      <c r="D41" s="28" t="s">
        <v>73</v>
      </c>
      <c r="E41" s="18"/>
      <c r="F41" s="20"/>
      <c r="G41" s="20"/>
      <c r="H41" s="20"/>
      <c r="I41" s="20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31" t="s">
        <v>74</v>
      </c>
      <c r="B42" s="28" t="s">
        <v>66</v>
      </c>
      <c r="C42" s="29"/>
      <c r="D42" s="28" t="s">
        <v>75</v>
      </c>
      <c r="E42" s="18"/>
      <c r="F42" s="20"/>
      <c r="G42" s="20"/>
      <c r="H42" s="20"/>
      <c r="I42" s="20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27" t="s">
        <v>76</v>
      </c>
      <c r="B43" s="28" t="s">
        <v>66</v>
      </c>
      <c r="C43" s="29"/>
      <c r="D43" s="28" t="s">
        <v>77</v>
      </c>
      <c r="E43" s="18"/>
      <c r="F43" s="20"/>
      <c r="G43" s="20"/>
      <c r="H43" s="20"/>
      <c r="I43" s="20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30"/>
      <c r="B44" s="28" t="s">
        <v>66</v>
      </c>
      <c r="C44" s="29"/>
      <c r="D44" s="28" t="s">
        <v>78</v>
      </c>
      <c r="E44" s="18"/>
      <c r="F44" s="20"/>
      <c r="G44" s="20"/>
      <c r="H44" s="20"/>
      <c r="I44" s="20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33" t="s">
        <v>79</v>
      </c>
      <c r="B45" s="28" t="s">
        <v>66</v>
      </c>
      <c r="C45" s="34">
        <v>1.0</v>
      </c>
      <c r="D45" s="32" t="s">
        <v>80</v>
      </c>
      <c r="E45" s="19" t="s">
        <v>18</v>
      </c>
      <c r="F45" s="22" t="s">
        <v>18</v>
      </c>
      <c r="G45" s="22" t="s">
        <v>21</v>
      </c>
      <c r="H45" s="22" t="s">
        <v>21</v>
      </c>
      <c r="I45" s="22" t="s">
        <v>21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31" t="s">
        <v>81</v>
      </c>
      <c r="B46" s="28" t="s">
        <v>66</v>
      </c>
      <c r="C46" s="34">
        <v>1.0</v>
      </c>
      <c r="D46" s="28" t="s">
        <v>82</v>
      </c>
      <c r="E46" s="19" t="s">
        <v>18</v>
      </c>
      <c r="F46" s="22" t="s">
        <v>18</v>
      </c>
      <c r="G46" s="22" t="s">
        <v>21</v>
      </c>
      <c r="H46" s="22" t="s">
        <v>21</v>
      </c>
      <c r="I46" s="22" t="s">
        <v>21</v>
      </c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31" t="s">
        <v>83</v>
      </c>
      <c r="B47" s="28" t="s">
        <v>66</v>
      </c>
      <c r="C47" s="34">
        <v>1.0</v>
      </c>
      <c r="D47" s="28" t="s">
        <v>84</v>
      </c>
      <c r="E47" s="19" t="s">
        <v>18</v>
      </c>
      <c r="F47" s="22" t="s">
        <v>18</v>
      </c>
      <c r="G47" s="22" t="s">
        <v>21</v>
      </c>
      <c r="H47" s="22" t="s">
        <v>21</v>
      </c>
      <c r="I47" s="22" t="s">
        <v>21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31" t="s">
        <v>85</v>
      </c>
      <c r="B48" s="28" t="s">
        <v>66</v>
      </c>
      <c r="C48" s="29"/>
      <c r="D48" s="28" t="s">
        <v>86</v>
      </c>
      <c r="E48" s="18"/>
      <c r="F48" s="20"/>
      <c r="G48" s="20"/>
      <c r="H48" s="20"/>
      <c r="I48" s="20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31" t="s">
        <v>87</v>
      </c>
      <c r="B49" s="28" t="s">
        <v>66</v>
      </c>
      <c r="C49" s="29"/>
      <c r="D49" s="28" t="s">
        <v>88</v>
      </c>
      <c r="E49" s="18"/>
      <c r="F49" s="20"/>
      <c r="G49" s="20"/>
      <c r="H49" s="20"/>
      <c r="I49" s="20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35" t="s">
        <v>89</v>
      </c>
      <c r="B50" s="28" t="s">
        <v>66</v>
      </c>
      <c r="C50" s="29"/>
      <c r="D50" s="28" t="s">
        <v>90</v>
      </c>
      <c r="E50" s="18"/>
      <c r="F50" s="20"/>
      <c r="G50" s="20"/>
      <c r="H50" s="20"/>
      <c r="I50" s="20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31" t="s">
        <v>91</v>
      </c>
      <c r="B51" s="28" t="s">
        <v>66</v>
      </c>
      <c r="C51" s="29"/>
      <c r="D51" s="32" t="s">
        <v>91</v>
      </c>
      <c r="E51" s="18"/>
      <c r="F51" s="20"/>
      <c r="G51" s="20"/>
      <c r="H51" s="20"/>
      <c r="I51" s="20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31" t="s">
        <v>92</v>
      </c>
      <c r="B52" s="28" t="s">
        <v>66</v>
      </c>
      <c r="C52" s="29"/>
      <c r="D52" s="32" t="s">
        <v>92</v>
      </c>
      <c r="E52" s="18"/>
      <c r="F52" s="20"/>
      <c r="G52" s="20"/>
      <c r="H52" s="20"/>
      <c r="I52" s="20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31" t="s">
        <v>93</v>
      </c>
      <c r="B53" s="28"/>
      <c r="C53" s="29"/>
      <c r="D53" s="32" t="s">
        <v>93</v>
      </c>
      <c r="E53" s="18"/>
      <c r="F53" s="20"/>
      <c r="G53" s="20"/>
      <c r="H53" s="20"/>
      <c r="I53" s="20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31" t="s">
        <v>94</v>
      </c>
      <c r="B54" s="28" t="s">
        <v>66</v>
      </c>
      <c r="C54" s="29"/>
      <c r="D54" s="28" t="s">
        <v>95</v>
      </c>
      <c r="E54" s="18"/>
      <c r="F54" s="20"/>
      <c r="G54" s="20"/>
      <c r="H54" s="20"/>
      <c r="I54" s="20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29"/>
      <c r="B55" s="29"/>
      <c r="C55" s="29"/>
      <c r="D55" s="29"/>
      <c r="E55" s="18"/>
      <c r="F55" s="20"/>
      <c r="G55" s="20"/>
      <c r="H55" s="20"/>
      <c r="I55" s="20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36"/>
      <c r="B56" s="36"/>
      <c r="C56" s="37">
        <f>SUM(C57:C64)</f>
        <v>0</v>
      </c>
      <c r="D56" s="37" t="s">
        <v>96</v>
      </c>
      <c r="E56" s="38"/>
      <c r="F56" s="36"/>
      <c r="G56" s="36"/>
      <c r="H56" s="36"/>
      <c r="I56" s="36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39" t="s">
        <v>97</v>
      </c>
      <c r="B57" s="40" t="s">
        <v>4</v>
      </c>
      <c r="C57" s="41"/>
      <c r="D57" s="42" t="s">
        <v>98</v>
      </c>
      <c r="E57" s="19" t="s">
        <v>21</v>
      </c>
      <c r="F57" s="20"/>
      <c r="G57" s="20"/>
      <c r="H57" s="20"/>
      <c r="I57" s="20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3" t="s">
        <v>99</v>
      </c>
      <c r="B58" s="44" t="s">
        <v>4</v>
      </c>
      <c r="C58" s="45"/>
      <c r="D58" s="44" t="s">
        <v>100</v>
      </c>
      <c r="E58" s="19" t="s">
        <v>21</v>
      </c>
      <c r="F58" s="20"/>
      <c r="G58" s="20"/>
      <c r="H58" s="20"/>
      <c r="I58" s="20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3" t="s">
        <v>101</v>
      </c>
      <c r="B59" s="44" t="s">
        <v>4</v>
      </c>
      <c r="C59" s="44"/>
      <c r="D59" s="44" t="s">
        <v>102</v>
      </c>
      <c r="E59" s="19" t="s">
        <v>18</v>
      </c>
      <c r="F59" s="20"/>
      <c r="G59" s="20"/>
      <c r="H59" s="20"/>
      <c r="I59" s="20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3" t="s">
        <v>103</v>
      </c>
      <c r="B60" s="44" t="s">
        <v>4</v>
      </c>
      <c r="C60" s="41"/>
      <c r="D60" s="44" t="s">
        <v>104</v>
      </c>
      <c r="E60" s="19" t="s">
        <v>21</v>
      </c>
      <c r="F60" s="20"/>
      <c r="G60" s="20"/>
      <c r="H60" s="20"/>
      <c r="I60" s="20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3" t="s">
        <v>105</v>
      </c>
      <c r="B61" s="44" t="s">
        <v>4</v>
      </c>
      <c r="C61" s="41"/>
      <c r="D61" s="44" t="s">
        <v>106</v>
      </c>
      <c r="E61" s="19" t="s">
        <v>18</v>
      </c>
      <c r="F61" s="20"/>
      <c r="G61" s="20"/>
      <c r="H61" s="20"/>
      <c r="I61" s="20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3" t="s">
        <v>107</v>
      </c>
      <c r="B62" s="44" t="s">
        <v>4</v>
      </c>
      <c r="C62" s="41"/>
      <c r="D62" s="44" t="s">
        <v>108</v>
      </c>
      <c r="E62" s="19" t="s">
        <v>21</v>
      </c>
      <c r="F62" s="20"/>
      <c r="G62" s="20"/>
      <c r="H62" s="20"/>
      <c r="I62" s="20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3" t="s">
        <v>109</v>
      </c>
      <c r="B63" s="44" t="s">
        <v>4</v>
      </c>
      <c r="C63" s="41"/>
      <c r="D63" s="44" t="s">
        <v>110</v>
      </c>
      <c r="E63" s="19" t="s">
        <v>21</v>
      </c>
      <c r="F63" s="20"/>
      <c r="G63" s="20"/>
      <c r="H63" s="20"/>
      <c r="I63" s="20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39" t="s">
        <v>111</v>
      </c>
      <c r="B64" s="40" t="s">
        <v>4</v>
      </c>
      <c r="C64" s="46"/>
      <c r="D64" s="40" t="s">
        <v>112</v>
      </c>
      <c r="E64" s="47" t="s">
        <v>21</v>
      </c>
      <c r="F64" s="48"/>
      <c r="G64" s="48"/>
      <c r="H64" s="48"/>
      <c r="I64" s="48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9" t="s">
        <v>113</v>
      </c>
      <c r="B65" s="50"/>
      <c r="C65" s="51">
        <f>SUM(C8:C64)</f>
        <v>21</v>
      </c>
      <c r="D65" s="52" t="s">
        <v>114</v>
      </c>
      <c r="E65" s="53">
        <f t="shared" ref="E65:I65" si="1">COUNTIF(E8:E64,"sim")</f>
        <v>27</v>
      </c>
      <c r="F65" s="53">
        <f t="shared" si="1"/>
        <v>17</v>
      </c>
      <c r="G65" s="53">
        <f t="shared" si="1"/>
        <v>0</v>
      </c>
      <c r="H65" s="53">
        <f t="shared" si="1"/>
        <v>0</v>
      </c>
      <c r="I65" s="53">
        <f t="shared" si="1"/>
        <v>0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54"/>
      <c r="B66" s="55"/>
      <c r="C66" s="56"/>
      <c r="D66" s="57" t="s">
        <v>115</v>
      </c>
      <c r="E66" s="58">
        <f t="shared" ref="E66:I66" si="2">COUNTIF(E$8:E$64,"NÃO")</f>
        <v>9</v>
      </c>
      <c r="F66" s="58">
        <f t="shared" si="2"/>
        <v>2</v>
      </c>
      <c r="G66" s="58">
        <f t="shared" si="2"/>
        <v>19</v>
      </c>
      <c r="H66" s="58">
        <f t="shared" si="2"/>
        <v>19</v>
      </c>
      <c r="I66" s="58">
        <f t="shared" si="2"/>
        <v>18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  <row r="100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</row>
    <row r="100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</row>
    <row r="1003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</row>
    <row r="1004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</row>
    <row r="1005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</row>
    <row r="1006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</row>
    <row r="1007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</row>
    <row r="1008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</row>
    <row r="1009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</row>
    <row r="1010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</row>
    <row r="101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</row>
    <row r="101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</row>
    <row r="1013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</row>
    <row r="1014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</row>
    <row r="1015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</row>
  </sheetData>
  <mergeCells count="9">
    <mergeCell ref="A65:B66"/>
    <mergeCell ref="C65:C66"/>
    <mergeCell ref="A1:E5"/>
    <mergeCell ref="F1:G4"/>
    <mergeCell ref="H4:H5"/>
    <mergeCell ref="I4:I5"/>
    <mergeCell ref="F5:G5"/>
    <mergeCell ref="A37:A38"/>
    <mergeCell ref="A43:A44"/>
  </mergeCells>
  <dataValidations>
    <dataValidation type="list" allowBlank="1" showErrorMessage="1" sqref="F5">
      <formula1>"FINALÍSTICO,APOIO,GERENCIAL"</formula1>
    </dataValidation>
    <dataValidation type="list" allowBlank="1" sqref="E8:I34 E37:I54 E57:I64">
      <formula1>"SIM,NÃO"</formula1>
    </dataValidation>
  </dataValidations>
  <hyperlinks>
    <hyperlink r:id="rId1" ref="A8"/>
    <hyperlink r:id="rId2" ref="A9"/>
    <hyperlink r:id="rId3" ref="A10"/>
    <hyperlink r:id="rId4" ref="A11"/>
    <hyperlink r:id="rId5" ref="A12"/>
    <hyperlink r:id="rId6" ref="A13"/>
    <hyperlink r:id="rId7" ref="A14"/>
    <hyperlink r:id="rId8" ref="A15"/>
    <hyperlink r:id="rId9" ref="A16"/>
    <hyperlink r:id="rId10" ref="A17"/>
    <hyperlink r:id="rId11" ref="A18"/>
    <hyperlink r:id="rId12" ref="A19"/>
    <hyperlink r:id="rId13" ref="A32"/>
    <hyperlink r:id="rId14" ref="A33"/>
    <hyperlink r:id="rId15" ref="A37"/>
    <hyperlink r:id="rId16" ref="A39"/>
    <hyperlink r:id="rId17" ref="A40"/>
    <hyperlink r:id="rId18" ref="A41"/>
    <hyperlink r:id="rId19" ref="A42"/>
    <hyperlink r:id="rId20" ref="A43"/>
    <hyperlink r:id="rId21" ref="A46"/>
    <hyperlink r:id="rId22" ref="A47"/>
    <hyperlink r:id="rId23" ref="A48"/>
    <hyperlink r:id="rId24" ref="A49"/>
    <hyperlink r:id="rId25" ref="A50"/>
    <hyperlink r:id="rId26" ref="A51"/>
    <hyperlink r:id="rId27" ref="A52"/>
    <hyperlink r:id="rId28" ref="A53"/>
    <hyperlink r:id="rId29" ref="A54"/>
    <hyperlink r:id="rId30" ref="A57"/>
    <hyperlink r:id="rId31" ref="A58"/>
    <hyperlink r:id="rId32" ref="A59"/>
    <hyperlink r:id="rId33" ref="A60"/>
    <hyperlink r:id="rId34" ref="A61"/>
    <hyperlink r:id="rId35" ref="A62"/>
    <hyperlink r:id="rId36" ref="A63"/>
    <hyperlink r:id="rId37" ref="A64"/>
  </hyperlinks>
  <drawing r:id="rId38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30.25"/>
    <col customWidth="1" min="2" max="2" width="14.38"/>
    <col customWidth="1" min="3" max="3" width="27.0"/>
    <col customWidth="1" min="4" max="4" width="19.13"/>
    <col customWidth="1" min="5" max="5" width="29.5"/>
    <col customWidth="1" min="6" max="6" width="21.75"/>
    <col customWidth="1" min="7" max="7" width="20.25"/>
    <col customWidth="1" min="8" max="8" width="17.38"/>
    <col customWidth="1" min="9" max="9" width="25.38"/>
  </cols>
  <sheetData>
    <row r="1" ht="78.0" customHeight="1">
      <c r="A1" s="59" t="s">
        <v>116</v>
      </c>
      <c r="B1" s="60"/>
      <c r="C1" s="60"/>
      <c r="D1" s="60"/>
      <c r="E1" s="60"/>
      <c r="F1" s="60"/>
      <c r="G1" s="60"/>
      <c r="H1" s="60"/>
      <c r="I1" s="60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</row>
    <row r="2" ht="36.75" customHeight="1">
      <c r="A2" s="61" t="s">
        <v>117</v>
      </c>
      <c r="B2" s="62" t="s">
        <v>118</v>
      </c>
      <c r="C2" s="63" t="s">
        <v>119</v>
      </c>
      <c r="D2" s="62" t="s">
        <v>120</v>
      </c>
      <c r="E2" s="62" t="s">
        <v>121</v>
      </c>
      <c r="F2" s="62" t="s">
        <v>122</v>
      </c>
      <c r="G2" s="62" t="s">
        <v>123</v>
      </c>
      <c r="H2" s="62" t="s">
        <v>124</v>
      </c>
      <c r="I2" s="64" t="s">
        <v>125</v>
      </c>
      <c r="J2" s="65"/>
      <c r="K2" s="65"/>
      <c r="L2" s="65"/>
      <c r="M2" s="65"/>
      <c r="N2" s="65"/>
      <c r="O2" s="65"/>
      <c r="P2" s="65"/>
      <c r="Q2" s="65"/>
      <c r="R2" s="65"/>
      <c r="S2" s="65"/>
      <c r="T2" s="4"/>
      <c r="U2" s="4"/>
    </row>
    <row r="3" ht="15.75" customHeight="1">
      <c r="A3" s="66" t="s">
        <v>28</v>
      </c>
      <c r="B3" s="67">
        <v>45861.0</v>
      </c>
      <c r="C3" s="68" t="s">
        <v>126</v>
      </c>
      <c r="D3" s="69" t="s">
        <v>127</v>
      </c>
      <c r="E3" s="69" t="s">
        <v>128</v>
      </c>
      <c r="F3" s="70" t="s">
        <v>129</v>
      </c>
      <c r="G3" s="69" t="s">
        <v>130</v>
      </c>
      <c r="H3" s="70" t="s">
        <v>129</v>
      </c>
      <c r="I3" s="70" t="s">
        <v>129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</row>
    <row r="4" ht="15.75" customHeight="1">
      <c r="A4" s="71"/>
      <c r="B4" s="72">
        <v>45892.0</v>
      </c>
      <c r="C4" s="73" t="s">
        <v>126</v>
      </c>
      <c r="D4" s="71"/>
      <c r="E4" s="71"/>
      <c r="F4" s="71"/>
      <c r="G4" s="71"/>
      <c r="H4" s="71"/>
      <c r="I4" s="71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ht="15.75" customHeight="1">
      <c r="A5" s="74"/>
      <c r="B5" s="75">
        <v>45922.0</v>
      </c>
      <c r="C5" s="76" t="s">
        <v>126</v>
      </c>
      <c r="D5" s="74"/>
      <c r="E5" s="74"/>
      <c r="F5" s="74"/>
      <c r="G5" s="74"/>
      <c r="H5" s="74"/>
      <c r="I5" s="7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6" ht="15.75" customHeight="1">
      <c r="A6" s="77" t="s">
        <v>131</v>
      </c>
      <c r="B6" s="67">
        <v>45862.0</v>
      </c>
      <c r="C6" s="68" t="s">
        <v>132</v>
      </c>
      <c r="D6" s="69" t="s">
        <v>127</v>
      </c>
      <c r="E6" s="69" t="s">
        <v>128</v>
      </c>
      <c r="F6" s="69" t="s">
        <v>127</v>
      </c>
      <c r="G6" s="69" t="s">
        <v>127</v>
      </c>
      <c r="H6" s="69" t="s">
        <v>130</v>
      </c>
      <c r="I6" s="69" t="s">
        <v>129</v>
      </c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</row>
    <row r="7" ht="15.75" customHeight="1">
      <c r="A7" s="74"/>
      <c r="B7" s="75">
        <v>45908.0</v>
      </c>
      <c r="C7" s="76" t="s">
        <v>132</v>
      </c>
      <c r="D7" s="74"/>
      <c r="E7" s="74"/>
      <c r="F7" s="74"/>
      <c r="G7" s="74"/>
      <c r="H7" s="74"/>
      <c r="I7" s="7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</row>
    <row r="8" ht="15.75" customHeight="1">
      <c r="A8" s="78" t="s">
        <v>133</v>
      </c>
      <c r="B8" s="67">
        <v>45854.0</v>
      </c>
      <c r="C8" s="68" t="s">
        <v>126</v>
      </c>
      <c r="D8" s="69" t="s">
        <v>129</v>
      </c>
      <c r="E8" s="69" t="s">
        <v>128</v>
      </c>
      <c r="F8" s="69" t="s">
        <v>130</v>
      </c>
      <c r="G8" s="69" t="s">
        <v>130</v>
      </c>
      <c r="H8" s="69" t="s">
        <v>130</v>
      </c>
      <c r="I8" s="69" t="s">
        <v>129</v>
      </c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</row>
    <row r="9" ht="15.75" customHeight="1">
      <c r="A9" s="71"/>
      <c r="B9" s="72">
        <v>45882.0</v>
      </c>
      <c r="C9" s="73" t="s">
        <v>126</v>
      </c>
      <c r="D9" s="71"/>
      <c r="E9" s="71"/>
      <c r="F9" s="71"/>
      <c r="G9" s="71"/>
      <c r="H9" s="71"/>
      <c r="I9" s="71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</row>
    <row r="10" ht="15.75" customHeight="1">
      <c r="A10" s="71"/>
      <c r="B10" s="79">
        <v>45889.0</v>
      </c>
      <c r="C10" s="73" t="s">
        <v>126</v>
      </c>
      <c r="D10" s="71"/>
      <c r="E10" s="71"/>
      <c r="F10" s="71"/>
      <c r="G10" s="71"/>
      <c r="H10" s="71"/>
      <c r="I10" s="71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</row>
    <row r="11" ht="15.75" customHeight="1">
      <c r="A11" s="74"/>
      <c r="B11" s="75">
        <v>45923.0</v>
      </c>
      <c r="C11" s="76" t="s">
        <v>132</v>
      </c>
      <c r="D11" s="74"/>
      <c r="E11" s="74"/>
      <c r="F11" s="74"/>
      <c r="G11" s="74"/>
      <c r="H11" s="74"/>
      <c r="I11" s="7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</row>
    <row r="12" ht="15.75" customHeight="1">
      <c r="A12" s="77" t="s">
        <v>30</v>
      </c>
      <c r="B12" s="67">
        <v>45847.0</v>
      </c>
      <c r="C12" s="68" t="s">
        <v>132</v>
      </c>
      <c r="D12" s="80" t="s">
        <v>127</v>
      </c>
      <c r="E12" s="80" t="s">
        <v>128</v>
      </c>
      <c r="F12" s="80" t="s">
        <v>130</v>
      </c>
      <c r="G12" s="80" t="s">
        <v>130</v>
      </c>
      <c r="H12" s="80" t="s">
        <v>130</v>
      </c>
      <c r="I12" s="80" t="s">
        <v>130</v>
      </c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</row>
    <row r="13" ht="15.75" customHeight="1">
      <c r="A13" s="71"/>
      <c r="B13" s="72">
        <v>45882.0</v>
      </c>
      <c r="C13" s="73" t="s">
        <v>132</v>
      </c>
      <c r="D13" s="71"/>
      <c r="E13" s="71"/>
      <c r="F13" s="71"/>
      <c r="G13" s="71"/>
      <c r="H13" s="71"/>
      <c r="I13" s="71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</row>
    <row r="14" ht="15.75" customHeight="1">
      <c r="A14" s="74"/>
      <c r="B14" s="75">
        <v>45918.0</v>
      </c>
      <c r="C14" s="76" t="s">
        <v>132</v>
      </c>
      <c r="D14" s="74"/>
      <c r="E14" s="74"/>
      <c r="F14" s="74"/>
      <c r="G14" s="74"/>
      <c r="H14" s="74"/>
      <c r="I14" s="7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</row>
    <row r="15" ht="15.75" customHeight="1">
      <c r="A15" s="77" t="s">
        <v>134</v>
      </c>
      <c r="B15" s="67">
        <v>45841.0</v>
      </c>
      <c r="C15" s="68" t="s">
        <v>132</v>
      </c>
      <c r="D15" s="69" t="s">
        <v>127</v>
      </c>
      <c r="E15" s="69" t="s">
        <v>128</v>
      </c>
      <c r="F15" s="69" t="s">
        <v>127</v>
      </c>
      <c r="G15" s="69" t="s">
        <v>127</v>
      </c>
      <c r="H15" s="69" t="s">
        <v>130</v>
      </c>
      <c r="I15" s="69" t="s">
        <v>130</v>
      </c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</row>
    <row r="16" ht="15.75" customHeight="1">
      <c r="A16" s="71"/>
      <c r="B16" s="72">
        <v>45875.0</v>
      </c>
      <c r="C16" s="73" t="s">
        <v>132</v>
      </c>
      <c r="D16" s="71"/>
      <c r="E16" s="71"/>
      <c r="F16" s="71"/>
      <c r="G16" s="71"/>
      <c r="H16" s="71"/>
      <c r="I16" s="71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</row>
    <row r="17" ht="15.75" customHeight="1">
      <c r="A17" s="71"/>
      <c r="B17" s="79">
        <v>45902.0</v>
      </c>
      <c r="C17" s="73" t="s">
        <v>126</v>
      </c>
      <c r="D17" s="71"/>
      <c r="E17" s="71"/>
      <c r="F17" s="71"/>
      <c r="G17" s="71"/>
      <c r="H17" s="71"/>
      <c r="I17" s="71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</row>
    <row r="18" ht="15.75" customHeight="1">
      <c r="A18" s="74"/>
      <c r="B18" s="75">
        <v>45923.0</v>
      </c>
      <c r="C18" s="76" t="s">
        <v>135</v>
      </c>
      <c r="D18" s="74"/>
      <c r="E18" s="74"/>
      <c r="F18" s="74"/>
      <c r="G18" s="74"/>
      <c r="H18" s="74"/>
      <c r="I18" s="7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</row>
    <row r="19" ht="15.75" customHeight="1">
      <c r="A19" s="77" t="s">
        <v>136</v>
      </c>
      <c r="B19" s="67">
        <v>45841.0</v>
      </c>
      <c r="C19" s="68" t="s">
        <v>132</v>
      </c>
      <c r="D19" s="70" t="s">
        <v>127</v>
      </c>
      <c r="E19" s="81" t="s">
        <v>128</v>
      </c>
      <c r="F19" s="70" t="s">
        <v>127</v>
      </c>
      <c r="G19" s="69" t="s">
        <v>130</v>
      </c>
      <c r="H19" s="69" t="s">
        <v>130</v>
      </c>
      <c r="I19" s="69" t="s">
        <v>130</v>
      </c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</row>
    <row r="20" ht="27.0" customHeight="1">
      <c r="A20" s="74"/>
      <c r="B20" s="82">
        <v>45875.0</v>
      </c>
      <c r="C20" s="76" t="s">
        <v>132</v>
      </c>
      <c r="D20" s="74"/>
      <c r="E20" s="74"/>
      <c r="F20" s="74"/>
      <c r="G20" s="74"/>
      <c r="H20" s="74"/>
      <c r="I20" s="7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</row>
    <row r="21" ht="15.75" customHeight="1">
      <c r="A21" s="77" t="s">
        <v>137</v>
      </c>
      <c r="B21" s="67">
        <v>45846.0</v>
      </c>
      <c r="C21" s="68" t="s">
        <v>132</v>
      </c>
      <c r="D21" s="80" t="s">
        <v>130</v>
      </c>
      <c r="E21" s="80" t="s">
        <v>128</v>
      </c>
      <c r="F21" s="80" t="s">
        <v>127</v>
      </c>
      <c r="G21" s="80" t="s">
        <v>127</v>
      </c>
      <c r="H21" s="80" t="s">
        <v>130</v>
      </c>
      <c r="I21" s="80" t="s">
        <v>130</v>
      </c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</row>
    <row r="22" ht="33.0" customHeight="1">
      <c r="A22" s="74"/>
      <c r="B22" s="75">
        <v>45912.0</v>
      </c>
      <c r="C22" s="76" t="s">
        <v>132</v>
      </c>
      <c r="D22" s="74"/>
      <c r="E22" s="74"/>
      <c r="F22" s="74"/>
      <c r="G22" s="74"/>
      <c r="H22" s="74"/>
      <c r="I22" s="7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</row>
    <row r="23" ht="15.75" customHeight="1">
      <c r="A23" s="77" t="s">
        <v>138</v>
      </c>
      <c r="B23" s="67">
        <v>45842.0</v>
      </c>
      <c r="C23" s="68" t="s">
        <v>126</v>
      </c>
      <c r="D23" s="69" t="s">
        <v>130</v>
      </c>
      <c r="E23" s="69" t="s">
        <v>128</v>
      </c>
      <c r="F23" s="69" t="s">
        <v>130</v>
      </c>
      <c r="G23" s="69" t="s">
        <v>130</v>
      </c>
      <c r="H23" s="69" t="s">
        <v>130</v>
      </c>
      <c r="I23" s="69" t="s">
        <v>130</v>
      </c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</row>
    <row r="24" ht="15.75" customHeight="1">
      <c r="A24" s="71"/>
      <c r="B24" s="79">
        <v>45861.0</v>
      </c>
      <c r="C24" s="73" t="s">
        <v>126</v>
      </c>
      <c r="D24" s="71"/>
      <c r="E24" s="71"/>
      <c r="F24" s="71"/>
      <c r="G24" s="71"/>
      <c r="H24" s="71"/>
      <c r="I24" s="71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</row>
    <row r="25" ht="15.75" customHeight="1">
      <c r="A25" s="71"/>
      <c r="B25" s="79">
        <v>45869.0</v>
      </c>
      <c r="C25" s="73" t="s">
        <v>126</v>
      </c>
      <c r="D25" s="71"/>
      <c r="E25" s="71"/>
      <c r="F25" s="71"/>
      <c r="G25" s="71"/>
      <c r="H25" s="71"/>
      <c r="I25" s="71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</row>
    <row r="26" ht="15.75" customHeight="1">
      <c r="A26" s="71"/>
      <c r="B26" s="72">
        <v>45873.0</v>
      </c>
      <c r="C26" s="73" t="s">
        <v>126</v>
      </c>
      <c r="D26" s="71"/>
      <c r="E26" s="71"/>
      <c r="F26" s="71"/>
      <c r="G26" s="71"/>
      <c r="H26" s="71"/>
      <c r="I26" s="71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</row>
    <row r="27" ht="15.75" customHeight="1">
      <c r="A27" s="71"/>
      <c r="B27" s="79">
        <v>45894.0</v>
      </c>
      <c r="C27" s="73" t="s">
        <v>126</v>
      </c>
      <c r="D27" s="71"/>
      <c r="E27" s="71"/>
      <c r="F27" s="71"/>
      <c r="G27" s="71"/>
      <c r="H27" s="71"/>
      <c r="I27" s="71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</row>
    <row r="28" ht="15.75" customHeight="1">
      <c r="A28" s="74"/>
      <c r="B28" s="75">
        <v>45908.0</v>
      </c>
      <c r="C28" s="76" t="s">
        <v>132</v>
      </c>
      <c r="D28" s="74"/>
      <c r="E28" s="74"/>
      <c r="F28" s="74"/>
      <c r="G28" s="74"/>
      <c r="H28" s="74"/>
      <c r="I28" s="7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</row>
    <row r="29" ht="15.75" customHeight="1">
      <c r="A29" s="77" t="s">
        <v>139</v>
      </c>
      <c r="B29" s="83">
        <v>45854.0</v>
      </c>
      <c r="C29" s="68" t="s">
        <v>126</v>
      </c>
      <c r="D29" s="80" t="s">
        <v>130</v>
      </c>
      <c r="E29" s="80" t="s">
        <v>128</v>
      </c>
      <c r="F29" s="80" t="s">
        <v>129</v>
      </c>
      <c r="G29" s="80" t="s">
        <v>130</v>
      </c>
      <c r="H29" s="80" t="s">
        <v>130</v>
      </c>
      <c r="I29" s="80" t="s">
        <v>130</v>
      </c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</row>
    <row r="30" ht="15.75" customHeight="1">
      <c r="A30" s="71"/>
      <c r="B30" s="79">
        <v>45861.0</v>
      </c>
      <c r="C30" s="73" t="s">
        <v>126</v>
      </c>
      <c r="D30" s="71"/>
      <c r="E30" s="71"/>
      <c r="F30" s="71"/>
      <c r="G30" s="71"/>
      <c r="H30" s="71"/>
      <c r="I30" s="71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</row>
    <row r="31" ht="15.75" customHeight="1">
      <c r="A31" s="74"/>
      <c r="B31" s="75">
        <v>45916.0</v>
      </c>
      <c r="C31" s="76" t="s">
        <v>132</v>
      </c>
      <c r="D31" s="74"/>
      <c r="E31" s="74"/>
      <c r="F31" s="74"/>
      <c r="G31" s="74"/>
      <c r="H31" s="74"/>
      <c r="I31" s="7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</row>
    <row r="32" ht="33.0" customHeight="1">
      <c r="A32" s="84" t="s">
        <v>60</v>
      </c>
      <c r="B32" s="85"/>
      <c r="C32" s="86" t="s">
        <v>126</v>
      </c>
      <c r="D32" s="87" t="s">
        <v>129</v>
      </c>
      <c r="E32" s="76" t="s">
        <v>128</v>
      </c>
      <c r="F32" s="87" t="s">
        <v>129</v>
      </c>
      <c r="G32" s="87" t="s">
        <v>129</v>
      </c>
      <c r="H32" s="87" t="s">
        <v>129</v>
      </c>
      <c r="I32" s="87" t="s">
        <v>129</v>
      </c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</row>
    <row r="33" ht="38.25" customHeight="1">
      <c r="A33" s="88" t="s">
        <v>140</v>
      </c>
      <c r="B33" s="85">
        <v>45861.0</v>
      </c>
      <c r="C33" s="86" t="s">
        <v>132</v>
      </c>
      <c r="D33" s="89" t="s">
        <v>130</v>
      </c>
      <c r="E33" s="73" t="s">
        <v>128</v>
      </c>
      <c r="F33" s="89" t="s">
        <v>130</v>
      </c>
      <c r="G33" s="89" t="s">
        <v>129</v>
      </c>
      <c r="H33" s="89" t="s">
        <v>129</v>
      </c>
      <c r="I33" s="89" t="s">
        <v>129</v>
      </c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</row>
    <row r="34" ht="40.5" customHeight="1">
      <c r="A34" s="88" t="s">
        <v>141</v>
      </c>
      <c r="B34" s="90" t="s">
        <v>142</v>
      </c>
      <c r="C34" s="86" t="s">
        <v>143</v>
      </c>
      <c r="D34" s="89" t="s">
        <v>129</v>
      </c>
      <c r="E34" s="73" t="s">
        <v>128</v>
      </c>
      <c r="F34" s="89" t="s">
        <v>129</v>
      </c>
      <c r="G34" s="89" t="s">
        <v>129</v>
      </c>
      <c r="H34" s="89" t="s">
        <v>129</v>
      </c>
      <c r="I34" s="89" t="s">
        <v>129</v>
      </c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</row>
    <row r="35" ht="15.75" customHeight="1">
      <c r="A35" s="77" t="s">
        <v>15</v>
      </c>
      <c r="B35" s="67">
        <v>45833.0</v>
      </c>
      <c r="C35" s="68" t="s">
        <v>132</v>
      </c>
      <c r="D35" s="91" t="s">
        <v>130</v>
      </c>
      <c r="E35" s="80" t="s">
        <v>128</v>
      </c>
      <c r="F35" s="91" t="s">
        <v>127</v>
      </c>
      <c r="G35" s="91" t="s">
        <v>129</v>
      </c>
      <c r="H35" s="91" t="s">
        <v>129</v>
      </c>
      <c r="I35" s="91" t="s">
        <v>129</v>
      </c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</row>
    <row r="36" ht="15.75" customHeight="1">
      <c r="A36" s="71"/>
      <c r="B36" s="72">
        <v>45868.0</v>
      </c>
      <c r="C36" s="73" t="s">
        <v>132</v>
      </c>
      <c r="D36" s="71"/>
      <c r="E36" s="71"/>
      <c r="F36" s="71"/>
      <c r="G36" s="71"/>
      <c r="H36" s="71"/>
      <c r="I36" s="71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</row>
    <row r="37" ht="15.75" customHeight="1">
      <c r="A37" s="74"/>
      <c r="B37" s="82">
        <v>45896.0</v>
      </c>
      <c r="C37" s="76" t="s">
        <v>132</v>
      </c>
      <c r="D37" s="56"/>
      <c r="E37" s="56"/>
      <c r="F37" s="56"/>
      <c r="G37" s="56"/>
      <c r="H37" s="56"/>
      <c r="I37" s="56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</row>
    <row r="38" ht="40.5" customHeight="1">
      <c r="A38" s="92" t="s">
        <v>144</v>
      </c>
      <c r="B38" s="93" t="s">
        <v>145</v>
      </c>
      <c r="C38" s="94" t="s">
        <v>119</v>
      </c>
      <c r="D38" s="95" t="s">
        <v>120</v>
      </c>
      <c r="E38" s="95" t="s">
        <v>121</v>
      </c>
      <c r="F38" s="95" t="s">
        <v>122</v>
      </c>
      <c r="G38" s="95" t="s">
        <v>123</v>
      </c>
      <c r="H38" s="95" t="s">
        <v>124</v>
      </c>
      <c r="I38" s="96" t="s">
        <v>125</v>
      </c>
      <c r="J38" s="97"/>
      <c r="K38" s="97"/>
      <c r="L38" s="97"/>
      <c r="M38" s="97"/>
      <c r="N38" s="97"/>
      <c r="O38" s="97"/>
      <c r="P38" s="97"/>
      <c r="Q38" s="97"/>
      <c r="R38" s="97"/>
      <c r="S38" s="97"/>
      <c r="T38" s="4"/>
      <c r="U38" s="4"/>
    </row>
    <row r="39" ht="34.5" customHeight="1">
      <c r="A39" s="88" t="s">
        <v>146</v>
      </c>
      <c r="B39" s="85">
        <v>45855.0</v>
      </c>
      <c r="C39" s="86" t="s">
        <v>132</v>
      </c>
      <c r="D39" s="76" t="s">
        <v>127</v>
      </c>
      <c r="E39" s="76" t="s">
        <v>127</v>
      </c>
      <c r="F39" s="76" t="s">
        <v>130</v>
      </c>
      <c r="G39" s="87" t="s">
        <v>130</v>
      </c>
      <c r="H39" s="87" t="s">
        <v>130</v>
      </c>
      <c r="I39" s="76" t="s">
        <v>130</v>
      </c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</row>
    <row r="40" ht="15.75" customHeight="1">
      <c r="A40" s="77" t="s">
        <v>87</v>
      </c>
      <c r="B40" s="98">
        <v>45841.0</v>
      </c>
      <c r="C40" s="99" t="s">
        <v>126</v>
      </c>
      <c r="D40" s="70" t="s">
        <v>129</v>
      </c>
      <c r="E40" s="69" t="s">
        <v>129</v>
      </c>
      <c r="F40" s="69" t="s">
        <v>127</v>
      </c>
      <c r="G40" s="69" t="s">
        <v>127</v>
      </c>
      <c r="H40" s="69" t="s">
        <v>127</v>
      </c>
      <c r="I40" s="69" t="s">
        <v>130</v>
      </c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</row>
    <row r="41" ht="25.5" customHeight="1">
      <c r="A41" s="74"/>
      <c r="B41" s="100">
        <v>45904.0</v>
      </c>
      <c r="C41" s="101" t="s">
        <v>126</v>
      </c>
      <c r="D41" s="74"/>
      <c r="E41" s="74"/>
      <c r="F41" s="74"/>
      <c r="G41" s="74"/>
      <c r="H41" s="74"/>
      <c r="I41" s="7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</row>
    <row r="42" ht="15.75" customHeight="1">
      <c r="A42" s="102" t="s">
        <v>70</v>
      </c>
      <c r="B42" s="103">
        <v>45834.0</v>
      </c>
      <c r="C42" s="104" t="s">
        <v>132</v>
      </c>
      <c r="D42" s="80" t="s">
        <v>130</v>
      </c>
      <c r="E42" s="91" t="s">
        <v>129</v>
      </c>
      <c r="F42" s="80" t="s">
        <v>130</v>
      </c>
      <c r="G42" s="80" t="s">
        <v>130</v>
      </c>
      <c r="H42" s="91" t="s">
        <v>129</v>
      </c>
      <c r="I42" s="91" t="s">
        <v>129</v>
      </c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</row>
    <row r="43" ht="15.75" customHeight="1">
      <c r="A43" s="105"/>
      <c r="B43" s="106">
        <v>45897.0</v>
      </c>
      <c r="C43" s="101" t="s">
        <v>126</v>
      </c>
      <c r="D43" s="74"/>
      <c r="E43" s="74"/>
      <c r="F43" s="74"/>
      <c r="G43" s="74"/>
      <c r="H43" s="74"/>
      <c r="I43" s="7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</row>
    <row r="44" ht="34.5" customHeight="1">
      <c r="A44" s="88" t="s">
        <v>85</v>
      </c>
      <c r="B44" s="85">
        <v>45854.0</v>
      </c>
      <c r="C44" s="86" t="s">
        <v>132</v>
      </c>
      <c r="D44" s="76" t="s">
        <v>130</v>
      </c>
      <c r="E44" s="87" t="s">
        <v>129</v>
      </c>
      <c r="F44" s="87" t="s">
        <v>129</v>
      </c>
      <c r="G44" s="87" t="s">
        <v>129</v>
      </c>
      <c r="H44" s="87" t="s">
        <v>129</v>
      </c>
      <c r="I44" s="87" t="s">
        <v>129</v>
      </c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</row>
    <row r="45" ht="15.75" customHeight="1">
      <c r="A45" s="77" t="s">
        <v>91</v>
      </c>
      <c r="B45" s="67">
        <v>45862.0</v>
      </c>
      <c r="C45" s="68" t="s">
        <v>132</v>
      </c>
      <c r="D45" s="91" t="s">
        <v>129</v>
      </c>
      <c r="E45" s="91" t="s">
        <v>129</v>
      </c>
      <c r="F45" s="91" t="s">
        <v>129</v>
      </c>
      <c r="G45" s="91" t="s">
        <v>129</v>
      </c>
      <c r="H45" s="91" t="s">
        <v>129</v>
      </c>
      <c r="I45" s="91" t="s">
        <v>129</v>
      </c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</row>
    <row r="46" ht="15.75" customHeight="1">
      <c r="A46" s="74"/>
      <c r="B46" s="82">
        <v>45883.0</v>
      </c>
      <c r="C46" s="76" t="s">
        <v>126</v>
      </c>
      <c r="D46" s="74"/>
      <c r="E46" s="74"/>
      <c r="F46" s="74"/>
      <c r="G46" s="74"/>
      <c r="H46" s="74"/>
      <c r="I46" s="7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</row>
    <row r="47" ht="32.25" customHeight="1">
      <c r="A47" s="88" t="s">
        <v>69</v>
      </c>
      <c r="B47" s="85">
        <v>45862.0</v>
      </c>
      <c r="C47" s="86" t="s">
        <v>126</v>
      </c>
      <c r="D47" s="87" t="s">
        <v>129</v>
      </c>
      <c r="E47" s="87" t="s">
        <v>129</v>
      </c>
      <c r="F47" s="87" t="s">
        <v>129</v>
      </c>
      <c r="G47" s="87" t="s">
        <v>129</v>
      </c>
      <c r="H47" s="87" t="s">
        <v>129</v>
      </c>
      <c r="I47" s="87" t="s">
        <v>129</v>
      </c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</row>
    <row r="48" ht="15.75" customHeight="1">
      <c r="A48" s="107" t="s">
        <v>92</v>
      </c>
      <c r="B48" s="83">
        <v>45869.0</v>
      </c>
      <c r="C48" s="108" t="s">
        <v>132</v>
      </c>
      <c r="D48" s="70" t="s">
        <v>129</v>
      </c>
      <c r="E48" s="70" t="s">
        <v>129</v>
      </c>
      <c r="F48" s="70" t="s">
        <v>129</v>
      </c>
      <c r="G48" s="70" t="s">
        <v>129</v>
      </c>
      <c r="H48" s="70" t="s">
        <v>129</v>
      </c>
      <c r="I48" s="70" t="s">
        <v>129</v>
      </c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</row>
    <row r="49" ht="15.75" customHeight="1">
      <c r="A49" s="109"/>
      <c r="B49" s="75">
        <v>45925.0</v>
      </c>
      <c r="C49" s="108" t="s">
        <v>126</v>
      </c>
      <c r="D49" s="74"/>
      <c r="E49" s="74"/>
      <c r="F49" s="74"/>
      <c r="G49" s="74"/>
      <c r="H49" s="74"/>
      <c r="I49" s="7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</row>
    <row r="50" ht="15.75" customHeight="1">
      <c r="A50" s="77" t="s">
        <v>93</v>
      </c>
      <c r="B50" s="83">
        <v>45869.0</v>
      </c>
      <c r="C50" s="86" t="s">
        <v>132</v>
      </c>
      <c r="D50" s="70" t="s">
        <v>129</v>
      </c>
      <c r="E50" s="70" t="s">
        <v>129</v>
      </c>
      <c r="F50" s="70" t="s">
        <v>129</v>
      </c>
      <c r="G50" s="70" t="s">
        <v>129</v>
      </c>
      <c r="H50" s="70" t="s">
        <v>129</v>
      </c>
      <c r="I50" s="70" t="s">
        <v>129</v>
      </c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</row>
    <row r="51" ht="15.75" customHeight="1">
      <c r="A51" s="74"/>
      <c r="B51" s="75">
        <v>45925.0</v>
      </c>
      <c r="C51" s="86" t="s">
        <v>126</v>
      </c>
      <c r="D51" s="74"/>
      <c r="E51" s="74"/>
      <c r="F51" s="74"/>
      <c r="G51" s="74"/>
      <c r="H51" s="74"/>
      <c r="I51" s="7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</row>
    <row r="52" ht="35.25" customHeight="1">
      <c r="A52" s="110" t="s">
        <v>94</v>
      </c>
      <c r="B52" s="90"/>
      <c r="C52" s="86" t="s">
        <v>126</v>
      </c>
      <c r="D52" s="111" t="s">
        <v>129</v>
      </c>
      <c r="E52" s="111" t="s">
        <v>129</v>
      </c>
      <c r="F52" s="111" t="s">
        <v>129</v>
      </c>
      <c r="G52" s="111" t="s">
        <v>129</v>
      </c>
      <c r="H52" s="111" t="s">
        <v>129</v>
      </c>
      <c r="I52" s="111" t="s">
        <v>129</v>
      </c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</row>
    <row r="53" ht="15.75" customHeight="1">
      <c r="A53" s="112" t="s">
        <v>147</v>
      </c>
      <c r="B53" s="113">
        <v>45855.0</v>
      </c>
      <c r="C53" s="86" t="s">
        <v>126</v>
      </c>
      <c r="D53" s="70" t="s">
        <v>129</v>
      </c>
      <c r="E53" s="70" t="s">
        <v>129</v>
      </c>
      <c r="F53" s="70" t="s">
        <v>129</v>
      </c>
      <c r="G53" s="70" t="s">
        <v>129</v>
      </c>
      <c r="H53" s="70" t="s">
        <v>129</v>
      </c>
      <c r="I53" s="70" t="s">
        <v>129</v>
      </c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</row>
    <row r="54" ht="15.75" customHeight="1">
      <c r="A54" s="114"/>
      <c r="B54" s="115">
        <v>45918.0</v>
      </c>
      <c r="C54" s="86" t="s">
        <v>126</v>
      </c>
      <c r="D54" s="74"/>
      <c r="E54" s="74"/>
      <c r="F54" s="74"/>
      <c r="G54" s="74"/>
      <c r="H54" s="74"/>
      <c r="I54" s="7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</row>
    <row r="55" ht="36.75" customHeight="1">
      <c r="A55" s="116" t="s">
        <v>65</v>
      </c>
      <c r="B55" s="117">
        <v>45925.0</v>
      </c>
      <c r="C55" s="86" t="s">
        <v>132</v>
      </c>
      <c r="D55" s="86" t="s">
        <v>127</v>
      </c>
      <c r="E55" s="86" t="s">
        <v>129</v>
      </c>
      <c r="F55" s="86" t="s">
        <v>127</v>
      </c>
      <c r="G55" s="86" t="s">
        <v>127</v>
      </c>
      <c r="H55" s="86" t="s">
        <v>130</v>
      </c>
      <c r="I55" s="86" t="s">
        <v>130</v>
      </c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</row>
    <row r="56" ht="34.5" customHeight="1">
      <c r="A56" s="116" t="s">
        <v>148</v>
      </c>
      <c r="B56" s="85">
        <v>45897.0</v>
      </c>
      <c r="C56" s="86" t="s">
        <v>126</v>
      </c>
      <c r="D56" s="111" t="s">
        <v>129</v>
      </c>
      <c r="E56" s="111" t="s">
        <v>130</v>
      </c>
      <c r="F56" s="111" t="s">
        <v>130</v>
      </c>
      <c r="G56" s="111" t="s">
        <v>130</v>
      </c>
      <c r="H56" s="111" t="s">
        <v>130</v>
      </c>
      <c r="I56" s="111" t="s">
        <v>129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</row>
    <row r="57" ht="37.5" customHeight="1">
      <c r="A57" s="118" t="s">
        <v>74</v>
      </c>
      <c r="B57" s="90"/>
      <c r="C57" s="86" t="s">
        <v>126</v>
      </c>
      <c r="D57" s="86" t="s">
        <v>127</v>
      </c>
      <c r="E57" s="111" t="s">
        <v>130</v>
      </c>
      <c r="F57" s="111" t="s">
        <v>130</v>
      </c>
      <c r="G57" s="111" t="s">
        <v>130</v>
      </c>
      <c r="H57" s="111" t="s">
        <v>130</v>
      </c>
      <c r="I57" s="111" t="s">
        <v>129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</row>
    <row r="58" ht="15.75" customHeight="1">
      <c r="A58" s="119" t="s">
        <v>76</v>
      </c>
      <c r="B58" s="67">
        <v>45828.0</v>
      </c>
      <c r="C58" s="120" t="s">
        <v>126</v>
      </c>
      <c r="D58" s="69" t="s">
        <v>130</v>
      </c>
      <c r="E58" s="69" t="s">
        <v>127</v>
      </c>
      <c r="F58" s="69" t="s">
        <v>130</v>
      </c>
      <c r="G58" s="69" t="s">
        <v>130</v>
      </c>
      <c r="H58" s="70" t="s">
        <v>130</v>
      </c>
      <c r="I58" s="70" t="s">
        <v>130</v>
      </c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</row>
    <row r="59" ht="15.75" customHeight="1">
      <c r="A59" s="121"/>
      <c r="B59" s="72">
        <v>45883.0</v>
      </c>
      <c r="C59" s="122" t="s">
        <v>132</v>
      </c>
      <c r="D59" s="71"/>
      <c r="E59" s="71"/>
      <c r="F59" s="71"/>
      <c r="G59" s="71"/>
      <c r="H59" s="71"/>
      <c r="I59" s="71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</row>
    <row r="60" ht="15.75" customHeight="1">
      <c r="A60" s="123"/>
      <c r="B60" s="124">
        <v>45890.0</v>
      </c>
      <c r="C60" s="80" t="s">
        <v>126</v>
      </c>
      <c r="D60" s="74"/>
      <c r="E60" s="74"/>
      <c r="F60" s="74"/>
      <c r="G60" s="74"/>
      <c r="H60" s="74"/>
      <c r="I60" s="7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</row>
    <row r="61" ht="44.25" customHeight="1">
      <c r="A61" s="119" t="s">
        <v>81</v>
      </c>
      <c r="B61" s="125">
        <v>45869.0</v>
      </c>
      <c r="C61" s="73" t="s">
        <v>132</v>
      </c>
      <c r="D61" s="69" t="s">
        <v>130</v>
      </c>
      <c r="E61" s="69" t="s">
        <v>129</v>
      </c>
      <c r="F61" s="69" t="s">
        <v>129</v>
      </c>
      <c r="G61" s="69" t="s">
        <v>129</v>
      </c>
      <c r="H61" s="69" t="s">
        <v>130</v>
      </c>
      <c r="I61" s="69" t="s">
        <v>129</v>
      </c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</row>
    <row r="62" ht="44.25" customHeight="1">
      <c r="A62" s="121"/>
      <c r="B62" s="125">
        <v>45925.0</v>
      </c>
      <c r="C62" s="73" t="s">
        <v>126</v>
      </c>
      <c r="D62" s="73" t="s">
        <v>130</v>
      </c>
      <c r="E62" s="73" t="s">
        <v>129</v>
      </c>
      <c r="F62" s="73" t="s">
        <v>127</v>
      </c>
      <c r="G62" s="73" t="s">
        <v>127</v>
      </c>
      <c r="H62" s="89" t="s">
        <v>130</v>
      </c>
      <c r="I62" s="89" t="s">
        <v>129</v>
      </c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</row>
    <row r="63" ht="15.75" customHeight="1">
      <c r="A63" s="121"/>
      <c r="B63" s="79">
        <v>45953.0</v>
      </c>
      <c r="C63" s="73" t="s">
        <v>126</v>
      </c>
      <c r="D63" s="73" t="s">
        <v>130</v>
      </c>
      <c r="E63" s="73" t="s">
        <v>129</v>
      </c>
      <c r="F63" s="73" t="s">
        <v>130</v>
      </c>
      <c r="G63" s="73" t="s">
        <v>130</v>
      </c>
      <c r="H63" s="73" t="s">
        <v>130</v>
      </c>
      <c r="I63" s="73" t="s">
        <v>129</v>
      </c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</row>
    <row r="64" ht="15.75" customHeight="1">
      <c r="A64" s="121"/>
      <c r="B64" s="79">
        <v>46083.0</v>
      </c>
      <c r="C64" s="73" t="s">
        <v>132</v>
      </c>
      <c r="D64" s="73" t="s">
        <v>130</v>
      </c>
      <c r="E64" s="73" t="s">
        <v>129</v>
      </c>
      <c r="F64" s="73" t="s">
        <v>149</v>
      </c>
      <c r="G64" s="73" t="s">
        <v>130</v>
      </c>
      <c r="H64" s="73" t="s">
        <v>130</v>
      </c>
      <c r="I64" s="73" t="s">
        <v>129</v>
      </c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</row>
    <row r="65" ht="15.75" customHeight="1">
      <c r="A65" s="126"/>
      <c r="B65" s="79">
        <v>46141.0</v>
      </c>
      <c r="C65" s="73" t="s">
        <v>132</v>
      </c>
      <c r="D65" s="73" t="s">
        <v>127</v>
      </c>
      <c r="E65" s="73" t="s">
        <v>129</v>
      </c>
      <c r="F65" s="73" t="s">
        <v>150</v>
      </c>
      <c r="G65" s="73" t="s">
        <v>130</v>
      </c>
      <c r="H65" s="73" t="s">
        <v>130</v>
      </c>
      <c r="I65" s="73" t="s">
        <v>129</v>
      </c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</row>
    <row r="66" ht="15.75" customHeight="1">
      <c r="A66" s="127" t="s">
        <v>151</v>
      </c>
      <c r="B66" s="79">
        <v>46062.0</v>
      </c>
      <c r="C66" s="73" t="s">
        <v>132</v>
      </c>
      <c r="D66" s="73" t="s">
        <v>129</v>
      </c>
      <c r="E66" s="73" t="s">
        <v>129</v>
      </c>
      <c r="F66" s="73" t="s">
        <v>130</v>
      </c>
      <c r="G66" s="73" t="s">
        <v>130</v>
      </c>
      <c r="H66" s="73" t="s">
        <v>130</v>
      </c>
      <c r="I66" s="73" t="s">
        <v>129</v>
      </c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</row>
    <row r="67" ht="15.75" customHeight="1">
      <c r="A67" s="71"/>
      <c r="B67" s="79">
        <v>46090.0</v>
      </c>
      <c r="C67" s="73" t="s">
        <v>132</v>
      </c>
      <c r="D67" s="73" t="s">
        <v>130</v>
      </c>
      <c r="E67" s="73" t="s">
        <v>129</v>
      </c>
      <c r="F67" s="73" t="s">
        <v>130</v>
      </c>
      <c r="G67" s="73" t="s">
        <v>130</v>
      </c>
      <c r="H67" s="73" t="s">
        <v>130</v>
      </c>
      <c r="I67" s="73" t="s">
        <v>129</v>
      </c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</row>
    <row r="68" ht="15.75" customHeight="1">
      <c r="A68" s="56"/>
      <c r="B68" s="83">
        <v>46134.0</v>
      </c>
      <c r="C68" s="99" t="s">
        <v>132</v>
      </c>
      <c r="D68" s="73" t="s">
        <v>127</v>
      </c>
      <c r="E68" s="73" t="s">
        <v>129</v>
      </c>
      <c r="F68" s="73" t="s">
        <v>130</v>
      </c>
      <c r="G68" s="73" t="s">
        <v>130</v>
      </c>
      <c r="H68" s="73" t="s">
        <v>130</v>
      </c>
      <c r="I68" s="73" t="s">
        <v>129</v>
      </c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</row>
    <row r="69" ht="15.75" customHeight="1">
      <c r="A69" s="128" t="s">
        <v>152</v>
      </c>
      <c r="B69" s="83">
        <v>45854.0</v>
      </c>
      <c r="C69" s="108" t="s">
        <v>132</v>
      </c>
      <c r="D69" s="91" t="s">
        <v>127</v>
      </c>
      <c r="E69" s="91" t="s">
        <v>127</v>
      </c>
      <c r="F69" s="91" t="s">
        <v>127</v>
      </c>
      <c r="G69" s="91" t="s">
        <v>127</v>
      </c>
      <c r="H69" s="91" t="s">
        <v>130</v>
      </c>
      <c r="I69" s="91" t="s">
        <v>130</v>
      </c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</row>
    <row r="70" ht="35.25" customHeight="1">
      <c r="A70" s="129"/>
      <c r="B70" s="130">
        <v>45855.0</v>
      </c>
      <c r="C70" s="108" t="s">
        <v>132</v>
      </c>
      <c r="D70" s="56"/>
      <c r="E70" s="56"/>
      <c r="F70" s="56"/>
      <c r="G70" s="56"/>
      <c r="H70" s="56"/>
      <c r="I70" s="56"/>
      <c r="J70" s="97"/>
      <c r="K70" s="97"/>
      <c r="L70" s="97"/>
      <c r="M70" s="97"/>
      <c r="N70" s="97"/>
      <c r="O70" s="97"/>
      <c r="P70" s="97"/>
      <c r="Q70" s="97"/>
      <c r="R70" s="97"/>
      <c r="S70" s="97"/>
      <c r="T70" s="4"/>
      <c r="U70" s="4"/>
    </row>
    <row r="71" ht="44.25" customHeight="1">
      <c r="A71" s="131" t="s">
        <v>153</v>
      </c>
      <c r="B71" s="132" t="s">
        <v>145</v>
      </c>
      <c r="C71" s="133" t="s">
        <v>119</v>
      </c>
      <c r="D71" s="134" t="s">
        <v>120</v>
      </c>
      <c r="E71" s="134" t="s">
        <v>121</v>
      </c>
      <c r="F71" s="134" t="s">
        <v>122</v>
      </c>
      <c r="G71" s="134" t="s">
        <v>123</v>
      </c>
      <c r="H71" s="134" t="s">
        <v>124</v>
      </c>
      <c r="I71" s="135" t="s">
        <v>125</v>
      </c>
      <c r="J71" s="97"/>
      <c r="K71" s="97"/>
      <c r="L71" s="97"/>
      <c r="M71" s="97"/>
      <c r="N71" s="97"/>
      <c r="O71" s="97"/>
      <c r="P71" s="97"/>
      <c r="Q71" s="97"/>
      <c r="R71" s="97"/>
      <c r="S71" s="97"/>
      <c r="T71" s="4"/>
      <c r="U71" s="4"/>
    </row>
    <row r="72" ht="15.75" customHeight="1">
      <c r="A72" s="77" t="s">
        <v>154</v>
      </c>
      <c r="B72" s="67">
        <v>45852.0</v>
      </c>
      <c r="C72" s="68" t="s">
        <v>132</v>
      </c>
      <c r="D72" s="91" t="s">
        <v>130</v>
      </c>
      <c r="E72" s="91" t="s">
        <v>130</v>
      </c>
      <c r="F72" s="91" t="s">
        <v>130</v>
      </c>
      <c r="G72" s="80" t="s">
        <v>130</v>
      </c>
      <c r="H72" s="91" t="s">
        <v>130</v>
      </c>
      <c r="I72" s="80" t="s">
        <v>130</v>
      </c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</row>
    <row r="73" ht="38.25" customHeight="1">
      <c r="A73" s="74"/>
      <c r="B73" s="82">
        <v>45853.0</v>
      </c>
      <c r="C73" s="76" t="s">
        <v>132</v>
      </c>
      <c r="D73" s="74"/>
      <c r="E73" s="74"/>
      <c r="F73" s="74"/>
      <c r="G73" s="74"/>
      <c r="H73" s="74"/>
      <c r="I73" s="7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</row>
    <row r="74" ht="27.75" customHeight="1">
      <c r="A74" s="77" t="s">
        <v>111</v>
      </c>
      <c r="B74" s="67">
        <v>45868.0</v>
      </c>
      <c r="C74" s="68" t="s">
        <v>132</v>
      </c>
      <c r="D74" s="91" t="s">
        <v>127</v>
      </c>
      <c r="E74" s="91" t="s">
        <v>130</v>
      </c>
      <c r="F74" s="80" t="s">
        <v>130</v>
      </c>
      <c r="G74" s="80" t="s">
        <v>130</v>
      </c>
      <c r="H74" s="80" t="s">
        <v>130</v>
      </c>
      <c r="I74" s="91" t="s">
        <v>130</v>
      </c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</row>
    <row r="75" ht="40.5" customHeight="1">
      <c r="A75" s="74"/>
      <c r="B75" s="82">
        <v>45897.0</v>
      </c>
      <c r="C75" s="76" t="s">
        <v>126</v>
      </c>
      <c r="D75" s="74"/>
      <c r="E75" s="74"/>
      <c r="F75" s="74"/>
      <c r="G75" s="74"/>
      <c r="H75" s="74"/>
      <c r="I75" s="7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</row>
    <row r="76" ht="36.0" customHeight="1">
      <c r="A76" s="88" t="s">
        <v>101</v>
      </c>
      <c r="B76" s="85">
        <v>45849.0</v>
      </c>
      <c r="C76" s="86" t="s">
        <v>132</v>
      </c>
      <c r="D76" s="136" t="s">
        <v>127</v>
      </c>
      <c r="E76" s="136" t="s">
        <v>130</v>
      </c>
      <c r="F76" s="136" t="s">
        <v>127</v>
      </c>
      <c r="G76" s="136" t="s">
        <v>127</v>
      </c>
      <c r="H76" s="136" t="s">
        <v>130</v>
      </c>
      <c r="I76" s="136" t="s">
        <v>130</v>
      </c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</row>
    <row r="77" ht="42.75" customHeight="1">
      <c r="A77" s="88" t="s">
        <v>105</v>
      </c>
      <c r="B77" s="113">
        <v>45926.0</v>
      </c>
      <c r="C77" s="86" t="s">
        <v>132</v>
      </c>
      <c r="D77" s="111" t="s">
        <v>130</v>
      </c>
      <c r="E77" s="111" t="s">
        <v>130</v>
      </c>
      <c r="F77" s="111" t="s">
        <v>130</v>
      </c>
      <c r="G77" s="111" t="s">
        <v>130</v>
      </c>
      <c r="H77" s="111" t="s">
        <v>130</v>
      </c>
      <c r="I77" s="111" t="s">
        <v>130</v>
      </c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</row>
    <row r="78" ht="39.0" customHeight="1">
      <c r="A78" s="88" t="s">
        <v>99</v>
      </c>
      <c r="B78" s="85">
        <v>45898.0</v>
      </c>
      <c r="C78" s="86" t="s">
        <v>135</v>
      </c>
      <c r="D78" s="111" t="s">
        <v>127</v>
      </c>
      <c r="E78" s="111" t="s">
        <v>130</v>
      </c>
      <c r="F78" s="111" t="s">
        <v>129</v>
      </c>
      <c r="G78" s="111" t="s">
        <v>130</v>
      </c>
      <c r="H78" s="111" t="s">
        <v>129</v>
      </c>
      <c r="I78" s="111" t="s">
        <v>129</v>
      </c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</row>
    <row r="79" ht="45.75" customHeight="1">
      <c r="A79" s="84" t="s">
        <v>103</v>
      </c>
      <c r="B79" s="113">
        <v>45849.0</v>
      </c>
      <c r="C79" s="86" t="s">
        <v>132</v>
      </c>
      <c r="D79" s="76" t="s">
        <v>127</v>
      </c>
      <c r="E79" s="76" t="s">
        <v>129</v>
      </c>
      <c r="F79" s="76" t="s">
        <v>129</v>
      </c>
      <c r="G79" s="87" t="s">
        <v>130</v>
      </c>
      <c r="H79" s="76" t="s">
        <v>129</v>
      </c>
      <c r="I79" s="87" t="s">
        <v>129</v>
      </c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</row>
    <row r="80" ht="42.75" customHeight="1">
      <c r="A80" s="84" t="s">
        <v>107</v>
      </c>
      <c r="B80" s="90"/>
      <c r="C80" s="86" t="s">
        <v>126</v>
      </c>
      <c r="D80" s="76" t="s">
        <v>129</v>
      </c>
      <c r="E80" s="76" t="s">
        <v>129</v>
      </c>
      <c r="F80" s="76" t="s">
        <v>129</v>
      </c>
      <c r="G80" s="76" t="s">
        <v>129</v>
      </c>
      <c r="H80" s="76" t="s">
        <v>129</v>
      </c>
      <c r="I80" s="76" t="s">
        <v>129</v>
      </c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</row>
    <row r="81" ht="41.25" customHeight="1">
      <c r="A81" s="84" t="s">
        <v>109</v>
      </c>
      <c r="B81" s="90"/>
      <c r="C81" s="86" t="s">
        <v>143</v>
      </c>
      <c r="D81" s="76" t="s">
        <v>129</v>
      </c>
      <c r="E81" s="76" t="s">
        <v>129</v>
      </c>
      <c r="F81" s="76" t="s">
        <v>129</v>
      </c>
      <c r="G81" s="76" t="s">
        <v>129</v>
      </c>
      <c r="H81" s="76" t="s">
        <v>129</v>
      </c>
      <c r="I81" s="76" t="s">
        <v>129</v>
      </c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</row>
    <row r="82" ht="15.7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</row>
    <row r="83" ht="15.7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</row>
    <row r="84" ht="15.7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</row>
    <row r="85" ht="15.7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</row>
    <row r="86" ht="15.7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</row>
    <row r="87" ht="15.7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</row>
    <row r="88" ht="15.7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</row>
    <row r="89" ht="15.7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</row>
    <row r="90" ht="15.7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</row>
    <row r="91" ht="15.7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</row>
    <row r="92" ht="15.7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</row>
    <row r="93" ht="15.7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</row>
    <row r="94" ht="15.7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</row>
    <row r="95" ht="15.7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</row>
    <row r="96" ht="15.7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</row>
    <row r="97" ht="15.7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</row>
    <row r="98" ht="15.7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</row>
    <row r="99" ht="15.7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</row>
    <row r="100" ht="15.7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</row>
    <row r="101" ht="15.7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</row>
    <row r="102" ht="15.7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</row>
    <row r="103" ht="15.7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</row>
    <row r="104" ht="15.7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</row>
    <row r="105" ht="15.7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</row>
    <row r="106" ht="15.7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</row>
    <row r="107" ht="15.7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</row>
    <row r="108" ht="15.7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</row>
    <row r="109" ht="15.7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</row>
    <row r="110" ht="15.7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</row>
    <row r="111" ht="15.7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</row>
    <row r="112" ht="15.7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</row>
    <row r="113" ht="15.7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</row>
    <row r="114" ht="15.7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</row>
    <row r="115" ht="15.7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</row>
    <row r="116" ht="15.7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</row>
    <row r="117" ht="15.7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</row>
    <row r="118" ht="15.7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</row>
    <row r="119" ht="15.7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</row>
    <row r="120" ht="15.7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</row>
    <row r="121" ht="15.7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</row>
    <row r="122" ht="15.7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</row>
    <row r="123" ht="15.7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</row>
    <row r="124" ht="15.7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</row>
    <row r="125" ht="15.7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</row>
    <row r="126" ht="15.7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</row>
    <row r="127" ht="15.7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</row>
    <row r="128" ht="15.7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</row>
    <row r="129" ht="15.7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</row>
    <row r="130" ht="15.7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</row>
    <row r="131" ht="15.7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</row>
    <row r="132" ht="15.7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</row>
    <row r="133" ht="15.7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</row>
    <row r="134" ht="15.7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</row>
    <row r="135" ht="15.7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</row>
    <row r="136" ht="15.7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</row>
    <row r="137" ht="15.7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</row>
    <row r="138" ht="15.7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</row>
    <row r="139" ht="15.7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</row>
    <row r="140" ht="15.7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</row>
    <row r="141" ht="15.7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</row>
    <row r="142" ht="15.7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</row>
    <row r="143" ht="15.7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</row>
    <row r="144" ht="15.7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</row>
    <row r="145" ht="15.7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</row>
    <row r="146" ht="15.7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</row>
    <row r="147" ht="15.7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</row>
    <row r="148" ht="15.7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</row>
    <row r="149" ht="15.7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</row>
    <row r="150" ht="15.7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</row>
    <row r="151" ht="15.7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</row>
    <row r="152" ht="15.7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</row>
    <row r="153" ht="15.7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</row>
    <row r="154" ht="15.7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</row>
    <row r="155" ht="15.7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</row>
    <row r="156" ht="15.7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</row>
    <row r="157" ht="15.7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</row>
    <row r="158" ht="15.7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</row>
    <row r="159" ht="15.7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</row>
    <row r="160" ht="15.75" customHeight="1">
      <c r="A160" s="4"/>
      <c r="B160" s="4"/>
      <c r="C160" s="137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</row>
    <row r="161" ht="15.75" customHeight="1">
      <c r="A161" s="4"/>
      <c r="B161" s="4"/>
      <c r="C161" s="137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</row>
    <row r="162" ht="15.75" customHeight="1">
      <c r="A162" s="4"/>
      <c r="B162" s="4"/>
      <c r="C162" s="137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</row>
    <row r="163" ht="15.75" customHeight="1">
      <c r="A163" s="4"/>
      <c r="B163" s="4"/>
      <c r="C163" s="137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</row>
    <row r="164" ht="15.75" customHeight="1">
      <c r="A164" s="4"/>
      <c r="B164" s="4"/>
      <c r="C164" s="137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</row>
    <row r="165" ht="15.75" customHeight="1">
      <c r="A165" s="4"/>
      <c r="B165" s="4"/>
      <c r="C165" s="137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</row>
    <row r="166" ht="15.75" customHeight="1">
      <c r="A166" s="4"/>
      <c r="B166" s="4"/>
      <c r="C166" s="137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</row>
    <row r="167" ht="15.75" customHeight="1">
      <c r="A167" s="4"/>
      <c r="B167" s="4"/>
      <c r="C167" s="137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</row>
    <row r="168" ht="15.75" customHeight="1">
      <c r="A168" s="4"/>
      <c r="B168" s="4"/>
      <c r="C168" s="137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</row>
    <row r="169" ht="15.75" customHeight="1">
      <c r="A169" s="4"/>
      <c r="B169" s="4"/>
      <c r="C169" s="137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</row>
    <row r="170" ht="15.75" customHeight="1">
      <c r="A170" s="4"/>
      <c r="B170" s="4"/>
      <c r="C170" s="137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</row>
    <row r="171" ht="15.75" customHeight="1">
      <c r="A171" s="4"/>
      <c r="B171" s="4"/>
      <c r="C171" s="137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</row>
    <row r="172" ht="15.75" customHeight="1">
      <c r="A172" s="4"/>
      <c r="B172" s="4"/>
      <c r="C172" s="137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</row>
    <row r="173" ht="15.75" customHeight="1">
      <c r="A173" s="4"/>
      <c r="B173" s="4"/>
      <c r="C173" s="137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</row>
    <row r="174" ht="15.75" customHeight="1">
      <c r="A174" s="4"/>
      <c r="B174" s="4"/>
      <c r="C174" s="137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</row>
    <row r="175" ht="15.75" customHeight="1">
      <c r="A175" s="4"/>
      <c r="B175" s="4"/>
      <c r="C175" s="137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</row>
    <row r="176" ht="15.75" customHeight="1">
      <c r="A176" s="4"/>
      <c r="B176" s="4"/>
      <c r="C176" s="137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</row>
    <row r="177" ht="15.75" customHeight="1">
      <c r="A177" s="4"/>
      <c r="B177" s="4"/>
      <c r="C177" s="137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</row>
    <row r="178" ht="15.75" customHeight="1">
      <c r="A178" s="4"/>
      <c r="B178" s="4"/>
      <c r="C178" s="137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</row>
    <row r="179" ht="15.75" customHeight="1">
      <c r="A179" s="4"/>
      <c r="B179" s="4"/>
      <c r="C179" s="137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</row>
    <row r="180" ht="15.75" customHeight="1">
      <c r="A180" s="4"/>
      <c r="B180" s="4"/>
      <c r="C180" s="137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</row>
    <row r="181" ht="15.75" customHeight="1">
      <c r="A181" s="4"/>
      <c r="B181" s="4"/>
      <c r="C181" s="137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</row>
    <row r="182" ht="15.75" customHeight="1">
      <c r="A182" s="4"/>
      <c r="B182" s="4"/>
      <c r="C182" s="137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</row>
    <row r="183" ht="15.75" customHeight="1">
      <c r="A183" s="4"/>
      <c r="B183" s="4"/>
      <c r="C183" s="137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</row>
    <row r="184" ht="15.75" customHeight="1">
      <c r="A184" s="4"/>
      <c r="B184" s="4"/>
      <c r="C184" s="137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</row>
    <row r="185" ht="15.75" customHeight="1">
      <c r="A185" s="4"/>
      <c r="B185" s="4"/>
      <c r="C185" s="137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</row>
    <row r="186" ht="15.75" customHeight="1">
      <c r="A186" s="4"/>
      <c r="B186" s="4"/>
      <c r="C186" s="137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</row>
    <row r="187" ht="15.75" customHeight="1">
      <c r="A187" s="4"/>
      <c r="B187" s="4"/>
      <c r="C187" s="137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</row>
    <row r="188" ht="15.75" customHeight="1">
      <c r="A188" s="4"/>
      <c r="B188" s="4"/>
      <c r="C188" s="137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</row>
    <row r="189" ht="15.75" customHeight="1">
      <c r="A189" s="4"/>
      <c r="B189" s="4"/>
      <c r="C189" s="137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</row>
    <row r="190" ht="15.75" customHeight="1">
      <c r="A190" s="4"/>
      <c r="B190" s="4"/>
      <c r="C190" s="137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</row>
    <row r="191" ht="15.75" customHeight="1">
      <c r="A191" s="4"/>
      <c r="B191" s="4"/>
      <c r="C191" s="137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</row>
    <row r="192" ht="15.75" customHeight="1">
      <c r="A192" s="4"/>
      <c r="B192" s="4"/>
      <c r="C192" s="137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</row>
    <row r="193" ht="15.75" customHeight="1">
      <c r="A193" s="4"/>
      <c r="B193" s="4"/>
      <c r="C193" s="137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</row>
    <row r="194" ht="15.75" customHeight="1">
      <c r="A194" s="4"/>
      <c r="B194" s="4"/>
      <c r="C194" s="137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</row>
    <row r="195" ht="15.75" customHeight="1">
      <c r="A195" s="4"/>
      <c r="B195" s="4"/>
      <c r="C195" s="137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</row>
    <row r="196" ht="15.75" customHeight="1">
      <c r="A196" s="4"/>
      <c r="B196" s="4"/>
      <c r="C196" s="137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</row>
    <row r="197" ht="15.75" customHeight="1">
      <c r="A197" s="4"/>
      <c r="B197" s="4"/>
      <c r="C197" s="137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</row>
    <row r="198" ht="15.75" customHeight="1">
      <c r="A198" s="4"/>
      <c r="B198" s="4"/>
      <c r="C198" s="137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</row>
    <row r="199" ht="15.75" customHeight="1">
      <c r="A199" s="4"/>
      <c r="B199" s="4"/>
      <c r="C199" s="137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</row>
    <row r="200" ht="15.75" customHeight="1">
      <c r="A200" s="4"/>
      <c r="B200" s="4"/>
      <c r="C200" s="137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</row>
    <row r="201" ht="15.75" customHeight="1">
      <c r="A201" s="4"/>
      <c r="B201" s="4"/>
      <c r="C201" s="137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</row>
    <row r="202" ht="15.75" customHeight="1">
      <c r="A202" s="4"/>
      <c r="B202" s="4"/>
      <c r="C202" s="137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</row>
    <row r="203" ht="15.75" customHeight="1">
      <c r="A203" s="4"/>
      <c r="B203" s="4"/>
      <c r="C203" s="137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</row>
    <row r="204" ht="15.75" customHeight="1">
      <c r="A204" s="4"/>
      <c r="B204" s="4"/>
      <c r="C204" s="137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</row>
    <row r="205" ht="15.75" customHeight="1">
      <c r="A205" s="4"/>
      <c r="B205" s="4"/>
      <c r="C205" s="137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</row>
    <row r="206" ht="15.75" customHeight="1">
      <c r="A206" s="4"/>
      <c r="B206" s="4"/>
      <c r="C206" s="137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</row>
    <row r="207" ht="15.75" customHeight="1">
      <c r="A207" s="4"/>
      <c r="B207" s="4"/>
      <c r="C207" s="137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</row>
    <row r="208" ht="15.75" customHeight="1">
      <c r="A208" s="4"/>
      <c r="B208" s="4"/>
      <c r="C208" s="137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</row>
    <row r="209" ht="15.75" customHeight="1">
      <c r="A209" s="4"/>
      <c r="B209" s="4"/>
      <c r="C209" s="137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</row>
    <row r="210" ht="15.75" customHeight="1">
      <c r="A210" s="4"/>
      <c r="B210" s="4"/>
      <c r="C210" s="137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</row>
    <row r="211" ht="15.75" customHeight="1">
      <c r="A211" s="4"/>
      <c r="B211" s="4"/>
      <c r="C211" s="137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</row>
    <row r="212" ht="15.75" customHeight="1">
      <c r="A212" s="4"/>
      <c r="B212" s="4"/>
      <c r="C212" s="137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</row>
    <row r="213" ht="15.75" customHeight="1">
      <c r="A213" s="4"/>
      <c r="B213" s="4"/>
      <c r="C213" s="137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</row>
    <row r="214" ht="15.75" customHeight="1">
      <c r="A214" s="4"/>
      <c r="B214" s="4"/>
      <c r="C214" s="137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</row>
    <row r="215" ht="15.75" customHeight="1">
      <c r="A215" s="4"/>
      <c r="B215" s="4"/>
      <c r="C215" s="137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</row>
    <row r="216" ht="15.75" customHeight="1">
      <c r="A216" s="4"/>
      <c r="B216" s="4"/>
      <c r="C216" s="137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</row>
    <row r="217" ht="15.75" customHeight="1">
      <c r="A217" s="4"/>
      <c r="B217" s="4"/>
      <c r="C217" s="137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</row>
    <row r="218" ht="15.75" customHeight="1">
      <c r="A218" s="4"/>
      <c r="B218" s="4"/>
      <c r="C218" s="137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</row>
    <row r="219" ht="15.75" customHeight="1">
      <c r="A219" s="4"/>
      <c r="B219" s="4"/>
      <c r="C219" s="137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</row>
    <row r="220" ht="15.75" customHeight="1">
      <c r="A220" s="4"/>
      <c r="B220" s="4"/>
      <c r="C220" s="137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</row>
    <row r="221" ht="15.75" customHeight="1">
      <c r="A221" s="4"/>
      <c r="B221" s="4"/>
      <c r="C221" s="137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</row>
    <row r="222" ht="15.75" customHeight="1">
      <c r="A222" s="4"/>
      <c r="B222" s="4"/>
      <c r="C222" s="137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</row>
    <row r="223" ht="15.75" customHeight="1">
      <c r="A223" s="4"/>
      <c r="B223" s="4"/>
      <c r="C223" s="137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</row>
    <row r="224" ht="15.75" customHeight="1">
      <c r="A224" s="4"/>
      <c r="B224" s="4"/>
      <c r="C224" s="137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</row>
    <row r="225" ht="15.75" customHeight="1">
      <c r="A225" s="4"/>
      <c r="B225" s="4"/>
      <c r="C225" s="137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</row>
    <row r="226" ht="15.75" customHeight="1">
      <c r="A226" s="4"/>
      <c r="B226" s="4"/>
      <c r="C226" s="137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</row>
    <row r="227" ht="15.75" customHeight="1">
      <c r="A227" s="4"/>
      <c r="B227" s="4"/>
      <c r="C227" s="137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</row>
    <row r="228" ht="15.75" customHeight="1">
      <c r="A228" s="4"/>
      <c r="B228" s="4"/>
      <c r="C228" s="137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</row>
    <row r="229" ht="15.75" customHeight="1">
      <c r="A229" s="4"/>
      <c r="B229" s="4"/>
      <c r="C229" s="137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</row>
    <row r="230" ht="15.75" customHeight="1">
      <c r="A230" s="4"/>
      <c r="B230" s="4"/>
      <c r="C230" s="137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</row>
    <row r="231" ht="15.75" customHeight="1">
      <c r="A231" s="4"/>
      <c r="B231" s="4"/>
      <c r="C231" s="137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</row>
    <row r="232" ht="15.75" customHeight="1">
      <c r="A232" s="4"/>
      <c r="B232" s="4"/>
      <c r="C232" s="137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</row>
    <row r="233" ht="15.75" customHeight="1">
      <c r="A233" s="4"/>
      <c r="B233" s="4"/>
      <c r="C233" s="137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</row>
    <row r="234" ht="15.75" customHeight="1">
      <c r="A234" s="4"/>
      <c r="B234" s="4"/>
      <c r="C234" s="137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</row>
    <row r="235" ht="15.75" customHeight="1">
      <c r="A235" s="4"/>
      <c r="B235" s="4"/>
      <c r="C235" s="137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</row>
    <row r="236" ht="15.75" customHeight="1">
      <c r="A236" s="4"/>
      <c r="B236" s="4"/>
      <c r="C236" s="137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</row>
    <row r="237" ht="15.75" customHeight="1">
      <c r="A237" s="4"/>
      <c r="B237" s="4"/>
      <c r="C237" s="137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</row>
    <row r="238" ht="15.75" customHeight="1">
      <c r="A238" s="4"/>
      <c r="B238" s="4"/>
      <c r="C238" s="137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</row>
    <row r="239" ht="15.75" customHeight="1">
      <c r="A239" s="4"/>
      <c r="B239" s="4"/>
      <c r="C239" s="137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</row>
    <row r="240" ht="15.75" customHeight="1">
      <c r="A240" s="4"/>
      <c r="B240" s="4"/>
      <c r="C240" s="137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</row>
    <row r="241" ht="15.75" customHeight="1">
      <c r="A241" s="4"/>
      <c r="B241" s="4"/>
      <c r="C241" s="137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</row>
    <row r="242" ht="15.75" customHeight="1">
      <c r="A242" s="4"/>
      <c r="B242" s="4"/>
      <c r="C242" s="137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</row>
    <row r="243" ht="15.75" customHeight="1">
      <c r="A243" s="4"/>
      <c r="B243" s="4"/>
      <c r="C243" s="137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</row>
    <row r="244" ht="15.75" customHeight="1">
      <c r="A244" s="4"/>
      <c r="B244" s="4"/>
      <c r="C244" s="137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</row>
    <row r="245" ht="15.75" customHeight="1">
      <c r="A245" s="4"/>
      <c r="B245" s="4"/>
      <c r="C245" s="137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</row>
    <row r="246" ht="15.75" customHeight="1">
      <c r="A246" s="4"/>
      <c r="B246" s="4"/>
      <c r="C246" s="137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</row>
    <row r="247" ht="15.75" customHeight="1">
      <c r="A247" s="4"/>
      <c r="B247" s="4"/>
      <c r="C247" s="137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</row>
    <row r="248" ht="15.75" customHeight="1">
      <c r="A248" s="4"/>
      <c r="B248" s="4"/>
      <c r="C248" s="137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</row>
    <row r="249" ht="15.75" customHeight="1">
      <c r="A249" s="4"/>
      <c r="B249" s="4"/>
      <c r="C249" s="137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</row>
    <row r="250" ht="15.75" customHeight="1">
      <c r="A250" s="4"/>
      <c r="B250" s="4"/>
      <c r="C250" s="137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</row>
    <row r="251" ht="15.75" customHeight="1">
      <c r="A251" s="4"/>
      <c r="B251" s="4"/>
      <c r="C251" s="137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</row>
    <row r="252" ht="15.75" customHeight="1">
      <c r="A252" s="4"/>
      <c r="B252" s="4"/>
      <c r="C252" s="137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</row>
    <row r="253" ht="15.75" customHeight="1">
      <c r="A253" s="4"/>
      <c r="B253" s="4"/>
      <c r="C253" s="137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</row>
    <row r="254" ht="15.75" customHeight="1">
      <c r="A254" s="4"/>
      <c r="B254" s="4"/>
      <c r="C254" s="137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</row>
    <row r="255" ht="15.75" customHeight="1">
      <c r="A255" s="4"/>
      <c r="B255" s="4"/>
      <c r="C255" s="137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</row>
    <row r="256" ht="15.75" customHeight="1">
      <c r="A256" s="4"/>
      <c r="B256" s="4"/>
      <c r="C256" s="137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</row>
    <row r="257" ht="15.75" customHeight="1">
      <c r="A257" s="4"/>
      <c r="B257" s="4"/>
      <c r="C257" s="137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</row>
    <row r="258" ht="15.75" customHeight="1">
      <c r="A258" s="4"/>
      <c r="B258" s="4"/>
      <c r="C258" s="137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</row>
    <row r="259" ht="15.75" customHeight="1">
      <c r="A259" s="4"/>
      <c r="B259" s="4"/>
      <c r="C259" s="137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</row>
    <row r="260" ht="15.75" customHeight="1">
      <c r="A260" s="4"/>
      <c r="B260" s="4"/>
      <c r="C260" s="137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</row>
    <row r="261" ht="15.75" customHeight="1">
      <c r="A261" s="4"/>
      <c r="B261" s="4"/>
      <c r="C261" s="137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</row>
    <row r="262" ht="15.75" customHeight="1">
      <c r="A262" s="4"/>
      <c r="B262" s="4"/>
      <c r="C262" s="137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</row>
    <row r="263" ht="15.75" customHeight="1">
      <c r="A263" s="4"/>
      <c r="B263" s="4"/>
      <c r="C263" s="137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</row>
    <row r="264" ht="15.75" customHeight="1">
      <c r="A264" s="4"/>
      <c r="B264" s="4"/>
      <c r="C264" s="137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</row>
    <row r="265" ht="15.75" customHeight="1">
      <c r="A265" s="4"/>
      <c r="B265" s="4"/>
      <c r="C265" s="137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</row>
    <row r="266" ht="15.75" customHeight="1">
      <c r="A266" s="4"/>
      <c r="B266" s="4"/>
      <c r="C266" s="137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</row>
    <row r="267" ht="15.75" customHeight="1">
      <c r="A267" s="4"/>
      <c r="B267" s="4"/>
      <c r="C267" s="137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</row>
    <row r="268" ht="15.75" customHeight="1">
      <c r="A268" s="4"/>
      <c r="B268" s="4"/>
      <c r="C268" s="137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</row>
    <row r="269" ht="15.75" customHeight="1">
      <c r="A269" s="4"/>
      <c r="B269" s="4"/>
      <c r="C269" s="137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</row>
    <row r="270" ht="15.75" customHeight="1">
      <c r="A270" s="4"/>
      <c r="B270" s="4"/>
      <c r="C270" s="137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</row>
    <row r="271" ht="15.75" customHeight="1">
      <c r="A271" s="4"/>
      <c r="B271" s="4"/>
      <c r="C271" s="137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</row>
    <row r="272" ht="15.75" customHeight="1">
      <c r="A272" s="4"/>
      <c r="B272" s="4"/>
      <c r="C272" s="137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</row>
    <row r="273" ht="15.75" customHeight="1">
      <c r="A273" s="4"/>
      <c r="B273" s="4"/>
      <c r="C273" s="137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</row>
    <row r="274" ht="15.75" customHeight="1">
      <c r="A274" s="4"/>
      <c r="B274" s="4"/>
      <c r="C274" s="137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</row>
    <row r="275" ht="15.75" customHeight="1">
      <c r="A275" s="4"/>
      <c r="B275" s="4"/>
      <c r="C275" s="137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</row>
    <row r="276" ht="15.75" customHeight="1">
      <c r="A276" s="4"/>
      <c r="B276" s="4"/>
      <c r="C276" s="137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</row>
    <row r="277" ht="15.75" customHeight="1">
      <c r="A277" s="4"/>
      <c r="B277" s="4"/>
      <c r="C277" s="137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</row>
    <row r="278" ht="15.75" customHeight="1">
      <c r="A278" s="4"/>
      <c r="B278" s="4"/>
      <c r="C278" s="137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</row>
    <row r="279" ht="15.7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</row>
    <row r="280" ht="15.7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</row>
    <row r="281" ht="15.7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</row>
    <row r="282" ht="15.7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</row>
    <row r="283" ht="15.7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</row>
    <row r="284" ht="15.7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</row>
    <row r="285" ht="15.7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</row>
    <row r="286" ht="15.7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</row>
    <row r="287" ht="15.7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</row>
    <row r="288" ht="15.7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</row>
    <row r="289" ht="15.7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</row>
    <row r="290" ht="15.7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</row>
    <row r="291" ht="15.7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</row>
    <row r="292" ht="15.7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</row>
    <row r="293" ht="15.7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</row>
    <row r="294" ht="15.7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</row>
    <row r="295" ht="15.7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</row>
    <row r="296" ht="15.7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</row>
    <row r="297" ht="15.7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</row>
    <row r="298" ht="15.7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</row>
    <row r="299" ht="15.7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</row>
    <row r="300" ht="15.7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</row>
    <row r="301" ht="15.7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</row>
    <row r="302" ht="15.7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</row>
    <row r="303" ht="15.7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</row>
    <row r="304" ht="15.7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</row>
    <row r="305" ht="15.7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</row>
    <row r="306" ht="15.7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</row>
    <row r="307" ht="15.7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</row>
    <row r="308" ht="15.7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</row>
    <row r="309" ht="15.7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</row>
    <row r="310" ht="15.7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</row>
    <row r="311" ht="15.7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</row>
    <row r="312" ht="15.7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</row>
    <row r="313" ht="15.7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</row>
    <row r="314" ht="15.7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</row>
    <row r="315" ht="15.7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</row>
    <row r="316" ht="15.7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</row>
    <row r="317" ht="15.7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</row>
    <row r="318" ht="15.7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</row>
    <row r="319" ht="15.7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</row>
    <row r="320" ht="15.7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</row>
    <row r="321" ht="15.7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</row>
    <row r="322" ht="15.7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</row>
    <row r="323" ht="15.7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</row>
    <row r="324" ht="15.7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</row>
    <row r="325" ht="15.7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</row>
    <row r="326" ht="15.7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</row>
    <row r="327" ht="15.7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</row>
    <row r="328" ht="15.7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</row>
    <row r="329" ht="15.7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</row>
    <row r="330" ht="15.7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</row>
    <row r="331" ht="15.7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</row>
    <row r="332" ht="15.7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</row>
    <row r="333" ht="15.7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</row>
    <row r="334" ht="15.7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</row>
    <row r="335" ht="15.7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</row>
    <row r="336" ht="15.7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</row>
    <row r="337" ht="15.7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</row>
    <row r="338" ht="15.7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</row>
    <row r="339" ht="15.7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</row>
    <row r="340" ht="15.7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</row>
    <row r="341" ht="15.7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</row>
    <row r="342" ht="15.7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</row>
    <row r="343" ht="15.7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</row>
    <row r="344" ht="15.7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</row>
    <row r="345" ht="15.7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</row>
    <row r="346" ht="15.7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</row>
    <row r="347" ht="15.7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</row>
    <row r="348" ht="15.7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</row>
    <row r="349" ht="15.7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</row>
    <row r="350" ht="15.7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</row>
    <row r="351" ht="15.7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</row>
    <row r="352" ht="15.7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</row>
    <row r="353" ht="15.7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</row>
    <row r="354" ht="15.7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</row>
    <row r="355" ht="15.7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</row>
    <row r="356" ht="15.7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</row>
    <row r="357" ht="15.7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</row>
    <row r="358" ht="15.7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</row>
    <row r="359" ht="15.7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</row>
    <row r="360" ht="15.7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</row>
    <row r="361" ht="15.7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</row>
    <row r="362" ht="15.7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</row>
    <row r="363" ht="15.7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</row>
    <row r="364" ht="15.7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</row>
    <row r="365" ht="15.7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</row>
    <row r="366" ht="15.7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</row>
    <row r="367" ht="15.7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</row>
    <row r="368" ht="15.7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</row>
    <row r="369" ht="15.7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</row>
    <row r="370" ht="15.7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</row>
    <row r="371" ht="15.7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</row>
    <row r="372" ht="15.7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</row>
    <row r="373" ht="15.7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</row>
    <row r="374" ht="15.7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</row>
    <row r="375" ht="15.7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</row>
    <row r="376" ht="15.7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</row>
    <row r="377" ht="15.7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</row>
    <row r="378" ht="15.7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</row>
    <row r="379" ht="15.7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</row>
    <row r="380" ht="15.7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</row>
    <row r="381" ht="15.7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</row>
    <row r="382" ht="15.7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</row>
    <row r="383" ht="15.7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</row>
    <row r="384" ht="15.7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</row>
    <row r="385" ht="15.7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</row>
    <row r="386" ht="15.7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</row>
    <row r="387" ht="15.7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</row>
    <row r="388" ht="15.7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</row>
    <row r="389" ht="15.7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</row>
    <row r="390" ht="15.7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</row>
    <row r="391" ht="15.7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</row>
    <row r="392" ht="15.7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</row>
    <row r="393" ht="15.7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</row>
    <row r="394" ht="15.7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</row>
    <row r="395" ht="15.7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</row>
    <row r="396" ht="15.7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</row>
    <row r="397" ht="15.7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</row>
    <row r="398" ht="15.7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</row>
    <row r="399" ht="15.7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</row>
    <row r="400" ht="15.7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</row>
    <row r="401" ht="15.7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</row>
    <row r="402" ht="15.7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</row>
    <row r="403" ht="15.7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</row>
    <row r="404" ht="15.7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</row>
    <row r="405" ht="15.7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</row>
    <row r="406" ht="15.7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</row>
    <row r="407" ht="15.7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</row>
    <row r="408" ht="15.7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</row>
    <row r="409" ht="15.7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</row>
    <row r="410" ht="15.7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</row>
    <row r="411" ht="15.7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</row>
    <row r="412" ht="15.7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</row>
    <row r="413" ht="15.7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</row>
    <row r="414" ht="15.7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</row>
    <row r="415" ht="15.7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</row>
    <row r="416" ht="15.7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</row>
    <row r="417" ht="15.7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</row>
    <row r="418" ht="15.7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</row>
    <row r="419" ht="15.7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</row>
    <row r="420" ht="15.7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</row>
    <row r="421" ht="15.7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</row>
    <row r="422" ht="15.7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</row>
    <row r="423" ht="15.7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</row>
    <row r="424" ht="15.7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</row>
    <row r="425" ht="15.7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</row>
    <row r="426" ht="15.7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</row>
    <row r="427" ht="15.7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</row>
    <row r="428" ht="15.7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</row>
    <row r="429" ht="15.7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</row>
    <row r="430" ht="15.7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</row>
    <row r="431" ht="15.7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</row>
    <row r="432" ht="15.7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</row>
    <row r="433" ht="15.7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</row>
    <row r="434" ht="15.7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</row>
    <row r="435" ht="15.7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</row>
    <row r="436" ht="15.7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</row>
    <row r="437" ht="15.7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</row>
    <row r="438" ht="15.7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</row>
    <row r="439" ht="15.7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</row>
    <row r="440" ht="15.7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</row>
    <row r="441" ht="15.7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</row>
    <row r="442" ht="15.7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</row>
    <row r="443" ht="15.7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</row>
    <row r="444" ht="15.7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</row>
    <row r="445" ht="15.7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</row>
    <row r="446" ht="15.7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</row>
    <row r="447" ht="15.7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</row>
    <row r="448" ht="15.7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</row>
    <row r="449" ht="15.7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</row>
    <row r="450" ht="15.7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</row>
    <row r="451" ht="15.7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</row>
    <row r="452" ht="15.7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</row>
    <row r="453" ht="15.7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</row>
    <row r="454" ht="15.7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</row>
    <row r="455" ht="15.7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</row>
    <row r="456" ht="15.7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</row>
    <row r="457" ht="15.7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</row>
    <row r="458" ht="15.7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</row>
    <row r="459" ht="15.7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</row>
    <row r="460" ht="15.7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</row>
    <row r="461" ht="15.7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</row>
    <row r="462" ht="15.7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</row>
    <row r="463" ht="15.7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</row>
    <row r="464" ht="15.7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</row>
    <row r="465" ht="15.7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</row>
    <row r="466" ht="15.7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</row>
    <row r="467" ht="15.7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</row>
    <row r="468" ht="15.7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</row>
    <row r="469" ht="15.7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</row>
    <row r="470" ht="15.7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</row>
    <row r="471" ht="15.7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</row>
    <row r="472" ht="15.7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</row>
    <row r="473" ht="15.7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</row>
    <row r="474" ht="15.7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</row>
    <row r="475" ht="15.7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</row>
    <row r="476" ht="15.7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</row>
    <row r="477" ht="15.7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</row>
    <row r="478" ht="15.7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</row>
    <row r="479" ht="15.7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</row>
    <row r="480" ht="15.7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</row>
    <row r="481" ht="15.7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</row>
    <row r="482" ht="15.7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</row>
    <row r="483" ht="15.7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</row>
    <row r="484" ht="15.7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</row>
    <row r="485" ht="15.7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</row>
    <row r="486" ht="15.7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</row>
    <row r="487" ht="15.7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</row>
    <row r="488" ht="15.7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</row>
    <row r="489" ht="15.7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</row>
    <row r="490" ht="15.7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</row>
    <row r="491" ht="15.7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</row>
    <row r="492" ht="15.7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</row>
    <row r="493" ht="15.7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</row>
    <row r="494" ht="15.7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</row>
    <row r="495" ht="15.7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</row>
    <row r="496" ht="15.7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</row>
    <row r="497" ht="15.7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</row>
    <row r="498" ht="15.7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</row>
    <row r="499" ht="15.7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</row>
    <row r="500" ht="15.7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</row>
    <row r="501" ht="15.7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</row>
    <row r="502" ht="15.7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</row>
    <row r="503" ht="15.7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</row>
    <row r="504" ht="15.7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</row>
    <row r="505" ht="15.7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</row>
    <row r="506" ht="15.7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</row>
    <row r="507" ht="15.7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</row>
    <row r="508" ht="15.7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</row>
    <row r="509" ht="15.7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</row>
    <row r="510" ht="15.7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</row>
    <row r="511" ht="15.7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</row>
    <row r="512" ht="15.7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</row>
    <row r="513" ht="15.7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</row>
    <row r="514" ht="15.7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</row>
    <row r="515" ht="15.7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</row>
    <row r="516" ht="15.7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</row>
    <row r="517" ht="15.7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</row>
    <row r="518" ht="15.7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</row>
    <row r="519" ht="15.7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</row>
    <row r="520" ht="15.7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</row>
    <row r="521" ht="15.7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</row>
    <row r="522" ht="15.7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</row>
    <row r="523" ht="15.7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</row>
    <row r="524" ht="15.7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</row>
    <row r="525" ht="15.7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</row>
    <row r="526" ht="15.7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</row>
    <row r="527" ht="15.7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</row>
    <row r="528" ht="15.7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</row>
    <row r="529" ht="15.7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</row>
    <row r="530" ht="15.7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</row>
    <row r="531" ht="15.7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</row>
    <row r="532" ht="15.7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</row>
    <row r="533" ht="15.7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</row>
    <row r="534" ht="15.7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</row>
    <row r="535" ht="15.7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</row>
    <row r="536" ht="15.7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</row>
    <row r="537" ht="15.7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</row>
    <row r="538" ht="15.7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</row>
    <row r="539" ht="15.7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</row>
    <row r="540" ht="15.7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</row>
    <row r="541" ht="15.7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</row>
    <row r="542" ht="15.7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</row>
    <row r="543" ht="15.7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</row>
    <row r="544" ht="15.7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</row>
    <row r="545" ht="15.7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</row>
    <row r="546" ht="15.7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</row>
    <row r="547" ht="15.7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</row>
    <row r="548" ht="15.7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</row>
    <row r="549" ht="15.7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</row>
    <row r="550" ht="15.7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</row>
    <row r="551" ht="15.7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</row>
    <row r="552" ht="15.7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</row>
    <row r="553" ht="15.7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</row>
    <row r="554" ht="15.7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</row>
    <row r="555" ht="15.7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</row>
    <row r="556" ht="15.7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</row>
    <row r="557" ht="15.7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</row>
    <row r="558" ht="15.7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</row>
    <row r="559" ht="15.7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</row>
    <row r="560" ht="15.7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</row>
    <row r="561" ht="15.7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</row>
    <row r="562" ht="15.7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</row>
    <row r="563" ht="15.7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</row>
    <row r="564" ht="15.7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</row>
    <row r="565" ht="15.7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</row>
    <row r="566" ht="15.7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</row>
    <row r="567" ht="15.7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</row>
    <row r="568" ht="15.7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</row>
    <row r="569" ht="15.7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</row>
    <row r="570" ht="15.7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</row>
    <row r="571" ht="15.7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</row>
    <row r="572" ht="15.7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</row>
    <row r="573" ht="15.7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</row>
    <row r="574" ht="15.7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</row>
    <row r="575" ht="15.7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</row>
    <row r="576" ht="15.7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</row>
    <row r="577" ht="15.7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</row>
    <row r="578" ht="15.7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</row>
    <row r="579" ht="15.7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</row>
    <row r="580" ht="15.7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</row>
    <row r="581" ht="15.7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</row>
    <row r="582" ht="15.7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</row>
    <row r="583" ht="15.7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</row>
    <row r="584" ht="15.7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</row>
    <row r="585" ht="15.7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</row>
    <row r="586" ht="15.7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</row>
    <row r="587" ht="15.7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</row>
    <row r="588" ht="15.7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</row>
    <row r="589" ht="15.7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</row>
    <row r="590" ht="15.7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</row>
    <row r="591" ht="15.7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</row>
    <row r="592" ht="15.7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</row>
    <row r="593" ht="15.7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</row>
    <row r="594" ht="15.7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</row>
    <row r="595" ht="15.7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</row>
    <row r="596" ht="15.7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</row>
    <row r="597" ht="15.7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</row>
    <row r="598" ht="15.7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</row>
    <row r="599" ht="15.7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</row>
    <row r="600" ht="15.7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</row>
    <row r="601" ht="15.7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</row>
    <row r="602" ht="15.7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</row>
    <row r="603" ht="15.7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</row>
    <row r="604" ht="15.7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</row>
    <row r="605" ht="15.7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</row>
    <row r="606" ht="15.7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</row>
    <row r="607" ht="15.7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</row>
    <row r="608" ht="15.7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</row>
    <row r="609" ht="15.7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</row>
    <row r="610" ht="15.7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</row>
    <row r="611" ht="15.7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</row>
    <row r="612" ht="15.7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</row>
    <row r="613" ht="15.7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</row>
    <row r="614" ht="15.7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</row>
    <row r="615" ht="15.7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</row>
    <row r="616" ht="15.7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</row>
    <row r="617" ht="15.7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</row>
    <row r="618" ht="15.7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</row>
    <row r="619" ht="15.7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</row>
    <row r="620" ht="15.7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</row>
    <row r="621" ht="15.7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</row>
    <row r="622" ht="15.7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</row>
    <row r="623" ht="15.7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</row>
    <row r="624" ht="15.7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</row>
    <row r="625" ht="15.7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</row>
    <row r="626" ht="15.7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</row>
    <row r="627" ht="15.7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</row>
    <row r="628" ht="15.7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</row>
    <row r="629" ht="15.7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</row>
    <row r="630" ht="15.7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</row>
    <row r="631" ht="15.7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</row>
    <row r="632" ht="15.7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</row>
    <row r="633" ht="15.7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</row>
    <row r="634" ht="15.7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</row>
    <row r="635" ht="15.7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</row>
    <row r="636" ht="15.7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</row>
    <row r="637" ht="15.7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</row>
    <row r="638" ht="15.7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</row>
    <row r="639" ht="15.7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</row>
    <row r="640" ht="15.7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</row>
    <row r="641" ht="15.7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</row>
    <row r="642" ht="15.7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</row>
    <row r="643" ht="15.7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</row>
    <row r="644" ht="15.7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</row>
    <row r="645" ht="15.7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</row>
    <row r="646" ht="15.7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</row>
    <row r="647" ht="15.7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</row>
    <row r="648" ht="15.7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</row>
    <row r="649" ht="15.7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</row>
    <row r="650" ht="15.7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</row>
    <row r="651" ht="15.7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</row>
    <row r="652" ht="15.7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</row>
    <row r="653" ht="15.7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</row>
    <row r="654" ht="15.7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</row>
    <row r="655" ht="15.7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</row>
    <row r="656" ht="15.7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</row>
    <row r="657" ht="15.7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</row>
    <row r="658" ht="15.7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</row>
    <row r="659" ht="15.7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</row>
    <row r="660" ht="15.7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</row>
    <row r="661" ht="15.7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</row>
    <row r="662" ht="15.7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</row>
    <row r="663" ht="15.7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</row>
    <row r="664" ht="15.7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</row>
    <row r="665" ht="15.7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</row>
    <row r="666" ht="15.7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</row>
    <row r="667" ht="15.7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</row>
    <row r="668" ht="15.7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</row>
    <row r="669" ht="15.7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</row>
    <row r="670" ht="15.7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</row>
    <row r="671" ht="15.7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</row>
    <row r="672" ht="15.7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</row>
    <row r="673" ht="15.7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</row>
    <row r="674" ht="15.7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</row>
    <row r="675" ht="15.7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</row>
    <row r="676" ht="15.7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</row>
    <row r="677" ht="15.7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</row>
    <row r="678" ht="15.7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</row>
    <row r="679" ht="15.7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</row>
    <row r="680" ht="15.7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</row>
    <row r="681" ht="15.7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</row>
    <row r="682" ht="15.7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</row>
    <row r="683" ht="15.7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</row>
    <row r="684" ht="15.7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</row>
    <row r="685" ht="15.7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</row>
    <row r="686" ht="15.7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</row>
    <row r="687" ht="15.7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</row>
    <row r="688" ht="15.7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</row>
    <row r="689" ht="15.7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</row>
    <row r="690" ht="15.7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</row>
    <row r="691" ht="15.7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</row>
    <row r="692" ht="15.7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</row>
    <row r="693" ht="15.7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</row>
    <row r="694" ht="15.7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</row>
    <row r="695" ht="15.7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</row>
    <row r="696" ht="15.7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</row>
    <row r="697" ht="15.7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</row>
    <row r="698" ht="15.7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</row>
    <row r="699" ht="15.7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</row>
    <row r="700" ht="15.7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</row>
    <row r="701" ht="15.7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</row>
    <row r="702" ht="15.7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</row>
    <row r="703" ht="15.7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</row>
    <row r="704" ht="15.7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</row>
    <row r="705" ht="15.7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</row>
    <row r="706" ht="15.7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</row>
    <row r="707" ht="15.7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</row>
    <row r="708" ht="15.7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</row>
    <row r="709" ht="15.7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</row>
    <row r="710" ht="15.7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</row>
    <row r="711" ht="15.7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</row>
    <row r="712" ht="15.7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</row>
    <row r="713" ht="15.7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</row>
    <row r="714" ht="15.7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</row>
    <row r="715" ht="15.7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</row>
    <row r="716" ht="15.7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</row>
    <row r="717" ht="15.7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</row>
    <row r="718" ht="15.7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</row>
    <row r="719" ht="15.7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</row>
    <row r="720" ht="15.7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</row>
    <row r="721" ht="15.7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</row>
    <row r="722" ht="15.7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</row>
    <row r="723" ht="15.7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</row>
    <row r="724" ht="15.7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</row>
    <row r="725" ht="15.7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</row>
    <row r="726" ht="15.7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</row>
    <row r="727" ht="15.7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</row>
    <row r="728" ht="15.7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</row>
    <row r="729" ht="15.7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</row>
    <row r="730" ht="15.7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</row>
    <row r="731" ht="15.7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</row>
    <row r="732" ht="15.7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</row>
    <row r="733" ht="15.7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</row>
    <row r="734" ht="15.7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</row>
    <row r="735" ht="15.7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</row>
    <row r="736" ht="15.7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</row>
    <row r="737" ht="15.7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</row>
    <row r="738" ht="15.7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</row>
    <row r="739" ht="15.7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</row>
    <row r="740" ht="15.7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</row>
    <row r="741" ht="15.7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</row>
    <row r="742" ht="15.7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</row>
    <row r="743" ht="15.7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</row>
    <row r="744" ht="15.7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</row>
    <row r="745" ht="15.7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</row>
    <row r="746" ht="15.7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</row>
    <row r="747" ht="15.7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</row>
    <row r="748" ht="15.7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</row>
    <row r="749" ht="15.7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</row>
    <row r="750" ht="15.7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</row>
    <row r="751" ht="15.7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</row>
    <row r="752" ht="15.7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</row>
    <row r="753" ht="15.7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</row>
    <row r="754" ht="15.7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</row>
    <row r="755" ht="15.7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</row>
    <row r="756" ht="15.7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</row>
    <row r="757" ht="15.7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</row>
    <row r="758" ht="15.7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</row>
    <row r="759" ht="15.7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</row>
    <row r="760" ht="15.7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</row>
    <row r="761" ht="15.7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</row>
    <row r="762" ht="15.7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</row>
    <row r="763" ht="15.7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</row>
    <row r="764" ht="15.7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</row>
    <row r="765" ht="15.7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</row>
    <row r="766" ht="15.7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</row>
    <row r="767" ht="15.7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</row>
    <row r="768" ht="15.7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</row>
    <row r="769" ht="15.7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</row>
    <row r="770" ht="15.7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</row>
    <row r="771" ht="15.7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</row>
    <row r="772" ht="15.7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</row>
    <row r="773" ht="15.7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</row>
    <row r="774" ht="15.7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</row>
    <row r="775" ht="15.7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</row>
    <row r="776" ht="15.7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</row>
    <row r="777" ht="15.7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</row>
    <row r="778" ht="15.7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</row>
    <row r="779" ht="15.7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</row>
    <row r="780" ht="15.7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</row>
    <row r="781" ht="15.7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</row>
    <row r="782" ht="15.7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</row>
    <row r="783" ht="15.7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</row>
    <row r="784" ht="15.7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</row>
    <row r="785" ht="15.7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</row>
    <row r="786" ht="15.7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</row>
    <row r="787" ht="15.7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</row>
    <row r="788" ht="15.7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</row>
    <row r="789" ht="15.7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</row>
    <row r="790" ht="15.7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</row>
    <row r="791" ht="15.7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</row>
    <row r="792" ht="15.7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</row>
    <row r="793" ht="15.7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</row>
    <row r="794" ht="15.7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</row>
    <row r="795" ht="15.7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</row>
    <row r="796" ht="15.7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</row>
    <row r="797" ht="15.7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</row>
    <row r="798" ht="15.7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</row>
    <row r="799" ht="15.7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</row>
    <row r="800" ht="15.7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</row>
    <row r="801" ht="15.7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</row>
    <row r="802" ht="15.7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</row>
    <row r="803" ht="15.7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</row>
    <row r="804" ht="15.7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</row>
    <row r="805" ht="15.7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</row>
    <row r="806" ht="15.7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</row>
    <row r="807" ht="15.7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</row>
    <row r="808" ht="15.7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</row>
    <row r="809" ht="15.7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</row>
    <row r="810" ht="15.7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</row>
    <row r="811" ht="15.7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</row>
    <row r="812" ht="15.7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</row>
    <row r="813" ht="15.7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</row>
    <row r="814" ht="15.7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</row>
    <row r="815" ht="15.7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</row>
    <row r="816" ht="15.7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</row>
    <row r="817" ht="15.7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</row>
    <row r="818" ht="15.7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</row>
    <row r="819" ht="15.7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</row>
    <row r="820" ht="15.7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</row>
    <row r="821" ht="15.7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</row>
    <row r="822" ht="15.7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</row>
    <row r="823" ht="15.7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</row>
    <row r="824" ht="15.7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</row>
    <row r="825" ht="15.7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</row>
    <row r="826" ht="15.7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</row>
    <row r="827" ht="15.7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</row>
    <row r="828" ht="15.7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</row>
    <row r="829" ht="15.7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</row>
    <row r="830" ht="15.7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</row>
    <row r="831" ht="15.7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</row>
    <row r="832" ht="15.7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</row>
    <row r="833" ht="15.7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</row>
    <row r="834" ht="15.7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</row>
    <row r="835" ht="15.7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</row>
    <row r="836" ht="15.7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</row>
    <row r="837" ht="15.7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</row>
    <row r="838" ht="15.7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</row>
    <row r="839" ht="15.7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</row>
    <row r="840" ht="15.7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</row>
    <row r="841" ht="15.7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</row>
    <row r="842" ht="15.7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</row>
    <row r="843" ht="15.7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</row>
    <row r="844" ht="15.7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</row>
    <row r="845" ht="15.7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</row>
    <row r="846" ht="15.7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</row>
    <row r="847" ht="15.7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</row>
    <row r="848" ht="15.7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</row>
    <row r="849" ht="15.7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</row>
    <row r="850" ht="15.7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</row>
    <row r="851" ht="15.7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</row>
    <row r="852" ht="15.7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</row>
    <row r="853" ht="15.7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</row>
    <row r="854" ht="15.7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</row>
    <row r="855" ht="15.7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</row>
    <row r="856" ht="15.7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</row>
    <row r="857" ht="15.7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</row>
    <row r="858" ht="15.7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</row>
    <row r="859" ht="15.7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</row>
    <row r="860" ht="15.7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</row>
    <row r="861" ht="15.7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</row>
    <row r="862" ht="15.7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</row>
    <row r="863" ht="15.7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</row>
    <row r="864" ht="15.7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</row>
    <row r="865" ht="15.7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</row>
    <row r="866" ht="15.7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</row>
    <row r="867" ht="15.7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</row>
    <row r="868" ht="15.7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</row>
    <row r="869" ht="15.7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</row>
    <row r="870" ht="15.7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</row>
    <row r="871" ht="15.7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</row>
    <row r="872" ht="15.7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</row>
    <row r="873" ht="15.7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</row>
    <row r="874" ht="15.7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</row>
    <row r="875" ht="15.7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</row>
    <row r="876" ht="15.7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</row>
    <row r="877" ht="15.7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</row>
    <row r="878" ht="15.7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</row>
    <row r="879" ht="15.7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</row>
    <row r="880" ht="15.7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</row>
    <row r="881" ht="15.7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</row>
    <row r="882" ht="15.7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</row>
    <row r="883" ht="15.7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</row>
    <row r="884" ht="15.7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</row>
    <row r="885" ht="15.7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</row>
    <row r="886" ht="15.7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</row>
    <row r="887" ht="15.7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</row>
    <row r="888" ht="15.7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</row>
    <row r="889" ht="15.7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</row>
    <row r="890" ht="15.7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</row>
    <row r="891" ht="15.7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</row>
    <row r="892" ht="15.7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</row>
    <row r="893" ht="15.7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</row>
    <row r="894" ht="15.7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</row>
    <row r="895" ht="15.7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</row>
    <row r="896" ht="15.7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</row>
    <row r="897" ht="15.7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</row>
    <row r="898" ht="15.7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</row>
    <row r="899" ht="15.7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</row>
    <row r="900" ht="15.7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</row>
    <row r="901" ht="15.7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</row>
    <row r="902" ht="15.7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</row>
    <row r="903" ht="15.7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</row>
    <row r="904" ht="15.7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</row>
    <row r="905" ht="15.7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</row>
    <row r="906" ht="15.7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</row>
    <row r="907" ht="15.7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</row>
    <row r="908" ht="15.7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</row>
    <row r="909" ht="15.7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</row>
    <row r="910" ht="15.7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</row>
    <row r="911" ht="15.7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</row>
    <row r="912" ht="15.7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</row>
    <row r="913" ht="15.7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</row>
    <row r="914" ht="15.7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</row>
    <row r="915" ht="15.7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</row>
    <row r="916" ht="15.7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</row>
    <row r="917" ht="15.7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</row>
    <row r="918" ht="15.7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</row>
    <row r="919" ht="15.7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</row>
    <row r="920" ht="15.7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</row>
    <row r="921" ht="15.7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</row>
    <row r="922" ht="15.7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</row>
    <row r="923" ht="15.7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</row>
    <row r="924" ht="15.7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</row>
    <row r="925" ht="15.7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</row>
    <row r="926" ht="15.7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</row>
    <row r="927" ht="15.7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</row>
    <row r="928" ht="15.7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</row>
    <row r="929" ht="15.7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</row>
    <row r="930" ht="15.7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</row>
    <row r="931" ht="15.7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</row>
    <row r="932" ht="15.7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</row>
    <row r="933" ht="15.7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</row>
    <row r="934" ht="15.7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</row>
    <row r="935" ht="15.7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</row>
    <row r="936" ht="15.7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</row>
    <row r="937" ht="15.7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</row>
    <row r="938" ht="15.7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</row>
    <row r="939" ht="15.7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</row>
    <row r="940" ht="15.7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</row>
    <row r="941" ht="15.7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</row>
    <row r="942" ht="15.7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</row>
    <row r="943" ht="15.7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</row>
    <row r="944" ht="15.7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</row>
    <row r="945" ht="15.7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</row>
    <row r="946" ht="15.7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</row>
    <row r="947" ht="15.7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</row>
    <row r="948" ht="15.7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</row>
    <row r="949" ht="15.7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</row>
    <row r="950" ht="15.7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</row>
    <row r="951" ht="15.7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</row>
    <row r="952" ht="15.7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</row>
    <row r="953" ht="15.7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</row>
    <row r="954" ht="15.7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</row>
    <row r="955" ht="15.7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</row>
    <row r="956" ht="15.7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</row>
    <row r="957" ht="15.7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</row>
    <row r="958" ht="15.7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</row>
    <row r="959" ht="15.7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</row>
    <row r="960" ht="15.7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</row>
    <row r="961" ht="15.7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</row>
    <row r="962" ht="15.7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</row>
    <row r="963" ht="15.7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</row>
    <row r="964" ht="15.7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</row>
    <row r="965" ht="15.7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</row>
    <row r="966" ht="15.7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</row>
    <row r="967" ht="15.7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</row>
    <row r="968" ht="15.7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</row>
    <row r="969" ht="15.7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</row>
    <row r="970" ht="15.7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</row>
    <row r="971" ht="15.7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</row>
    <row r="972" ht="15.7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</row>
    <row r="973" ht="15.7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</row>
    <row r="974" ht="15.7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</row>
    <row r="975" ht="15.7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</row>
    <row r="976" ht="15.7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</row>
    <row r="977" ht="15.7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</row>
    <row r="978" ht="15.7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</row>
    <row r="979" ht="15.7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</row>
    <row r="980" ht="15.7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</row>
    <row r="981" ht="15.7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</row>
    <row r="982" ht="15.7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</row>
    <row r="983" ht="15.7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</row>
    <row r="984" ht="15.7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</row>
    <row r="985" ht="15.7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</row>
    <row r="986" ht="15.7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</row>
    <row r="987" ht="15.7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</row>
    <row r="988" ht="15.7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</row>
    <row r="989" ht="15.7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</row>
    <row r="990" ht="15.7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</row>
    <row r="991" ht="15.7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</row>
    <row r="992" ht="15.7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</row>
    <row r="993" ht="15.7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</row>
    <row r="994" ht="15.7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</row>
    <row r="995" ht="15.7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</row>
    <row r="996" ht="15.7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</row>
    <row r="997" ht="15.7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</row>
    <row r="998" ht="15.7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</row>
    <row r="999" ht="15.7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</row>
    <row r="1000" ht="15.7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</row>
    <row r="1001" ht="15.75" customHeight="1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</row>
    <row r="1002" ht="15.75" customHeight="1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</row>
    <row r="1003" ht="15.75" customHeight="1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</row>
    <row r="1004" ht="15.75" customHeight="1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</row>
    <row r="1005" ht="15.75" customHeight="1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</row>
    <row r="1006" ht="15.75" customHeight="1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</row>
    <row r="1007" ht="15.75" customHeight="1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</row>
    <row r="1008" ht="15.75" customHeight="1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</row>
    <row r="1009" ht="15.75" customHeight="1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</row>
    <row r="1010" ht="15.75" customHeight="1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</row>
    <row r="1011" ht="15.75" customHeight="1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</row>
    <row r="1012" ht="15.75" customHeight="1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</row>
    <row r="1013" ht="15.75" customHeight="1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</row>
    <row r="1014" ht="15.75" customHeight="1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</row>
    <row r="1015" ht="15.75" customHeight="1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</row>
    <row r="1016" ht="15.75" customHeight="1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</row>
    <row r="1017" ht="15.75" customHeight="1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</row>
    <row r="1018" ht="15.75" customHeight="1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</row>
    <row r="1019" ht="15.75" customHeight="1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</row>
    <row r="1020" ht="15.75" customHeight="1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</row>
    <row r="1021" ht="15.75" customHeight="1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</row>
    <row r="1022" ht="15.75" customHeight="1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</row>
    <row r="1023" ht="15.75" customHeight="1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</row>
    <row r="1024" ht="15.75" customHeight="1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</row>
    <row r="1025" ht="15.75" customHeight="1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</row>
    <row r="1026" ht="15.75" customHeight="1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</row>
  </sheetData>
  <mergeCells count="143">
    <mergeCell ref="A53:A54"/>
    <mergeCell ref="A58:A60"/>
    <mergeCell ref="E58:E60"/>
    <mergeCell ref="F58:F60"/>
    <mergeCell ref="G58:G60"/>
    <mergeCell ref="H58:H60"/>
    <mergeCell ref="I58:I60"/>
    <mergeCell ref="D58:D60"/>
    <mergeCell ref="D69:D70"/>
    <mergeCell ref="E69:E70"/>
    <mergeCell ref="F69:F70"/>
    <mergeCell ref="G69:G70"/>
    <mergeCell ref="H69:H70"/>
    <mergeCell ref="I69:I70"/>
    <mergeCell ref="A1:I1"/>
    <mergeCell ref="D3:D5"/>
    <mergeCell ref="E3:E5"/>
    <mergeCell ref="F3:F5"/>
    <mergeCell ref="G3:G5"/>
    <mergeCell ref="H3:H5"/>
    <mergeCell ref="I3:I5"/>
    <mergeCell ref="A3:A5"/>
    <mergeCell ref="D6:D7"/>
    <mergeCell ref="E6:E7"/>
    <mergeCell ref="F6:F7"/>
    <mergeCell ref="G6:G7"/>
    <mergeCell ref="H6:H7"/>
    <mergeCell ref="I6:I7"/>
    <mergeCell ref="A6:A7"/>
    <mergeCell ref="D8:D11"/>
    <mergeCell ref="E8:E11"/>
    <mergeCell ref="F8:F11"/>
    <mergeCell ref="G8:G11"/>
    <mergeCell ref="H8:H11"/>
    <mergeCell ref="I8:I11"/>
    <mergeCell ref="A8:A11"/>
    <mergeCell ref="D12:D14"/>
    <mergeCell ref="E12:E14"/>
    <mergeCell ref="F12:F14"/>
    <mergeCell ref="G12:G14"/>
    <mergeCell ref="H12:H14"/>
    <mergeCell ref="I12:I14"/>
    <mergeCell ref="A12:A14"/>
    <mergeCell ref="D15:D18"/>
    <mergeCell ref="E15:E18"/>
    <mergeCell ref="F15:F18"/>
    <mergeCell ref="G15:G18"/>
    <mergeCell ref="H15:H18"/>
    <mergeCell ref="I15:I18"/>
    <mergeCell ref="D50:D51"/>
    <mergeCell ref="D53:D54"/>
    <mergeCell ref="E53:E54"/>
    <mergeCell ref="F53:F54"/>
    <mergeCell ref="G53:G54"/>
    <mergeCell ref="H53:H54"/>
    <mergeCell ref="I53:I54"/>
    <mergeCell ref="E74:E75"/>
    <mergeCell ref="F74:F75"/>
    <mergeCell ref="I74:I75"/>
    <mergeCell ref="G21:G22"/>
    <mergeCell ref="H21:H22"/>
    <mergeCell ref="D19:D20"/>
    <mergeCell ref="E19:E20"/>
    <mergeCell ref="F19:F20"/>
    <mergeCell ref="G19:G20"/>
    <mergeCell ref="H19:H20"/>
    <mergeCell ref="I19:I20"/>
    <mergeCell ref="D21:D22"/>
    <mergeCell ref="I21:I22"/>
    <mergeCell ref="E21:E22"/>
    <mergeCell ref="F21:F22"/>
    <mergeCell ref="E23:E28"/>
    <mergeCell ref="F23:F28"/>
    <mergeCell ref="G23:G28"/>
    <mergeCell ref="H23:H28"/>
    <mergeCell ref="I23:I28"/>
    <mergeCell ref="D23:D28"/>
    <mergeCell ref="D29:D31"/>
    <mergeCell ref="E29:E31"/>
    <mergeCell ref="F29:F31"/>
    <mergeCell ref="G29:G31"/>
    <mergeCell ref="H29:H31"/>
    <mergeCell ref="I29:I31"/>
    <mergeCell ref="G40:G41"/>
    <mergeCell ref="H40:H41"/>
    <mergeCell ref="D35:D37"/>
    <mergeCell ref="E35:E37"/>
    <mergeCell ref="F35:F37"/>
    <mergeCell ref="G35:G37"/>
    <mergeCell ref="H35:H37"/>
    <mergeCell ref="I35:I37"/>
    <mergeCell ref="D40:D41"/>
    <mergeCell ref="I40:I41"/>
    <mergeCell ref="E40:E41"/>
    <mergeCell ref="F40:F41"/>
    <mergeCell ref="D42:D43"/>
    <mergeCell ref="E42:E43"/>
    <mergeCell ref="F42:F43"/>
    <mergeCell ref="G42:G43"/>
    <mergeCell ref="H42:H43"/>
    <mergeCell ref="I42:I43"/>
    <mergeCell ref="A42:A43"/>
    <mergeCell ref="A45:A46"/>
    <mergeCell ref="E45:E46"/>
    <mergeCell ref="F45:F46"/>
    <mergeCell ref="G45:G46"/>
    <mergeCell ref="H45:H46"/>
    <mergeCell ref="I45:I46"/>
    <mergeCell ref="D45:D46"/>
    <mergeCell ref="D48:D49"/>
    <mergeCell ref="E48:E49"/>
    <mergeCell ref="F48:F49"/>
    <mergeCell ref="G48:G49"/>
    <mergeCell ref="H48:H49"/>
    <mergeCell ref="I48:I49"/>
    <mergeCell ref="A48:A49"/>
    <mergeCell ref="A50:A51"/>
    <mergeCell ref="E50:E51"/>
    <mergeCell ref="F50:F51"/>
    <mergeCell ref="G50:G51"/>
    <mergeCell ref="H50:H51"/>
    <mergeCell ref="I50:I51"/>
    <mergeCell ref="A61:A65"/>
    <mergeCell ref="A66:A68"/>
    <mergeCell ref="A69:A70"/>
    <mergeCell ref="A72:A73"/>
    <mergeCell ref="A74:A75"/>
    <mergeCell ref="A15:A18"/>
    <mergeCell ref="A19:A20"/>
    <mergeCell ref="A21:A22"/>
    <mergeCell ref="A23:A28"/>
    <mergeCell ref="A29:A31"/>
    <mergeCell ref="A35:A37"/>
    <mergeCell ref="A40:A41"/>
    <mergeCell ref="G74:G75"/>
    <mergeCell ref="H74:H75"/>
    <mergeCell ref="D72:D73"/>
    <mergeCell ref="E72:E73"/>
    <mergeCell ref="F72:F73"/>
    <mergeCell ref="G72:G73"/>
    <mergeCell ref="H72:H73"/>
    <mergeCell ref="I72:I73"/>
    <mergeCell ref="D74:D75"/>
  </mergeCells>
  <dataValidations>
    <dataValidation type="list" allowBlank="1" showErrorMessage="1" sqref="D3:I3 D6:I6 D8:I8 D12:I12 D15:I15 D19:I19 D21:I21 E23:I23 E29:I29 E32:I35">
      <formula1>"Em andamento,Não iniciada,Concluída,Validação Nugesp,Validação Direção,Publicado,Em andamento pela Epidemio"</formula1>
    </dataValidation>
    <dataValidation type="list" allowBlank="1" showErrorMessage="1" sqref="D23 D29 D32:D35 D39:I40 D42:I42 D44:I45 D47:I48 D50:I50 D52:I53 D55:I58 C160:C855">
      <formula1>"Concluída,Em andamento,Não iniciada,Validação Nugesp,Validação direção,Publicado"</formula1>
    </dataValidation>
    <dataValidation type="list" allowBlank="1" showErrorMessage="1" sqref="D61:I62">
      <formula1>"Concluída,Em andamento,Não iniciada,Validação Nugesp,Validação direção,Publicado"</formula1>
    </dataValidation>
    <dataValidation type="list" allowBlank="1" showErrorMessage="1" sqref="C3:C37 C39:C70 C72:C81">
      <formula1>"Reagendado pelo Gestor,Reagendado Nugesp,Realizada,Não agendada"</formula1>
    </dataValidation>
    <dataValidation type="list" allowBlank="1" showErrorMessage="1" sqref="D63:I69 D72:I72 D74:I74 D76:I81">
      <formula1>"Concluída,Em andamento,Não iniciada,Validação Nugesp,Validação direção,Publicado"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31.88"/>
    <col customWidth="1" min="2" max="3" width="32.88"/>
    <col customWidth="1" min="4" max="4" width="23.75"/>
    <col customWidth="1" min="5" max="5" width="37.75"/>
    <col hidden="1" min="6" max="15" width="12.63"/>
  </cols>
  <sheetData>
    <row r="1" ht="31.5" customHeight="1">
      <c r="A1" s="138" t="s">
        <v>116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  <c r="AB1" s="4"/>
      <c r="AC1" s="4"/>
      <c r="AD1" s="4"/>
    </row>
    <row r="2" ht="51.0" customHeight="1">
      <c r="A2" s="129"/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29"/>
      <c r="Z2" s="129"/>
      <c r="AA2" s="129"/>
      <c r="AB2" s="4"/>
      <c r="AC2" s="4"/>
      <c r="AD2" s="4"/>
    </row>
    <row r="3" ht="31.5" customHeight="1">
      <c r="A3" s="140" t="s">
        <v>155</v>
      </c>
      <c r="B3" s="140" t="s">
        <v>156</v>
      </c>
      <c r="C3" s="140" t="s">
        <v>157</v>
      </c>
      <c r="D3" s="140" t="s">
        <v>158</v>
      </c>
      <c r="E3" s="140" t="s">
        <v>159</v>
      </c>
      <c r="F3" s="141">
        <v>45741.0</v>
      </c>
      <c r="G3" s="141">
        <v>45772.0</v>
      </c>
      <c r="H3" s="141">
        <v>45802.0</v>
      </c>
      <c r="I3" s="141">
        <v>45833.0</v>
      </c>
      <c r="J3" s="141">
        <v>45863.0</v>
      </c>
      <c r="K3" s="141">
        <v>45894.0</v>
      </c>
      <c r="L3" s="141">
        <v>45925.0</v>
      </c>
      <c r="M3" s="141">
        <v>45955.0</v>
      </c>
      <c r="N3" s="141">
        <v>45986.0</v>
      </c>
      <c r="O3" s="141">
        <v>46016.0</v>
      </c>
      <c r="P3" s="141">
        <v>46048.0</v>
      </c>
      <c r="Q3" s="141">
        <v>46079.0</v>
      </c>
      <c r="R3" s="141">
        <v>46107.0</v>
      </c>
      <c r="S3" s="141">
        <v>46138.0</v>
      </c>
      <c r="T3" s="141">
        <v>46168.0</v>
      </c>
      <c r="U3" s="140" t="s">
        <v>160</v>
      </c>
      <c r="V3" s="141">
        <v>46229.0</v>
      </c>
      <c r="W3" s="141">
        <v>46260.0</v>
      </c>
      <c r="X3" s="141">
        <v>46291.0</v>
      </c>
      <c r="Y3" s="141">
        <v>46321.0</v>
      </c>
      <c r="Z3" s="141">
        <v>46352.0</v>
      </c>
      <c r="AA3" s="141">
        <v>46382.0</v>
      </c>
      <c r="AB3" s="142"/>
      <c r="AC3" s="142"/>
      <c r="AD3" s="142"/>
    </row>
    <row r="4">
      <c r="A4" s="143" t="s">
        <v>161</v>
      </c>
      <c r="B4" s="144" t="s">
        <v>162</v>
      </c>
      <c r="C4" s="145" t="s">
        <v>163</v>
      </c>
      <c r="D4" s="146" t="s">
        <v>164</v>
      </c>
      <c r="E4" s="147" t="s">
        <v>165</v>
      </c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8">
        <v>0.8871</v>
      </c>
      <c r="Q4" s="149">
        <v>0.8681</v>
      </c>
      <c r="R4" s="150">
        <v>0.9097</v>
      </c>
      <c r="S4" s="151"/>
      <c r="T4" s="151"/>
      <c r="U4" s="151"/>
      <c r="V4" s="151"/>
      <c r="W4" s="151"/>
      <c r="X4" s="151"/>
      <c r="Y4" s="151"/>
      <c r="Z4" s="151"/>
      <c r="AA4" s="151"/>
      <c r="AB4" s="4"/>
      <c r="AC4" s="4"/>
      <c r="AD4" s="4"/>
    </row>
    <row r="5">
      <c r="A5" s="71"/>
      <c r="B5" s="152"/>
      <c r="C5" s="145" t="s">
        <v>166</v>
      </c>
      <c r="D5" s="147" t="s">
        <v>164</v>
      </c>
      <c r="E5" s="147" t="s">
        <v>167</v>
      </c>
      <c r="F5" s="147">
        <v>2.88</v>
      </c>
      <c r="G5" s="147">
        <v>5.26</v>
      </c>
      <c r="H5" s="147">
        <v>5.76</v>
      </c>
      <c r="I5" s="147">
        <v>6.78</v>
      </c>
      <c r="J5" s="147">
        <v>7.78</v>
      </c>
      <c r="K5" s="147">
        <v>6.64</v>
      </c>
      <c r="L5" s="147">
        <v>6.39</v>
      </c>
      <c r="M5" s="147">
        <v>6.8</v>
      </c>
      <c r="N5" s="147">
        <v>6.98</v>
      </c>
      <c r="O5" s="147">
        <v>6.04</v>
      </c>
      <c r="P5" s="153">
        <v>6.16</v>
      </c>
      <c r="Q5" s="153">
        <v>6.77</v>
      </c>
      <c r="R5" s="153">
        <v>6.23</v>
      </c>
      <c r="S5" s="151"/>
      <c r="T5" s="151"/>
      <c r="U5" s="151"/>
      <c r="V5" s="151"/>
      <c r="W5" s="151"/>
      <c r="X5" s="151"/>
      <c r="Y5" s="151"/>
      <c r="Z5" s="151"/>
      <c r="AA5" s="151"/>
      <c r="AB5" s="4"/>
      <c r="AC5" s="4"/>
      <c r="AD5" s="4"/>
    </row>
    <row r="6">
      <c r="A6" s="71"/>
      <c r="B6" s="152"/>
      <c r="C6" s="154" t="s">
        <v>168</v>
      </c>
      <c r="D6" s="147" t="s">
        <v>169</v>
      </c>
      <c r="E6" s="155">
        <v>5.5</v>
      </c>
      <c r="F6" s="146"/>
      <c r="G6" s="146"/>
      <c r="H6" s="146"/>
      <c r="I6" s="146"/>
      <c r="J6" s="146"/>
      <c r="K6" s="146"/>
      <c r="L6" s="146"/>
      <c r="M6" s="146"/>
      <c r="N6" s="146"/>
      <c r="O6" s="146"/>
      <c r="P6" s="156"/>
      <c r="Q6" s="156"/>
      <c r="R6" s="156"/>
      <c r="S6" s="151"/>
      <c r="T6" s="151"/>
      <c r="U6" s="151"/>
      <c r="V6" s="151"/>
      <c r="W6" s="151"/>
      <c r="X6" s="151"/>
      <c r="Y6" s="151"/>
      <c r="Z6" s="151"/>
      <c r="AA6" s="151"/>
      <c r="AB6" s="4"/>
      <c r="AC6" s="4"/>
      <c r="AD6" s="4"/>
    </row>
    <row r="7">
      <c r="A7" s="71"/>
      <c r="B7" s="152"/>
      <c r="C7" s="145" t="s">
        <v>170</v>
      </c>
      <c r="D7" s="146" t="s">
        <v>169</v>
      </c>
      <c r="E7" s="147" t="s">
        <v>171</v>
      </c>
      <c r="F7" s="146"/>
      <c r="G7" s="146"/>
      <c r="H7" s="146"/>
      <c r="I7" s="146"/>
      <c r="J7" s="146"/>
      <c r="K7" s="146"/>
      <c r="L7" s="146"/>
      <c r="M7" s="146"/>
      <c r="N7" s="146"/>
      <c r="O7" s="146"/>
      <c r="P7" s="151"/>
      <c r="Q7" s="151"/>
      <c r="R7" s="151"/>
      <c r="S7" s="151"/>
      <c r="T7" s="151"/>
      <c r="U7" s="151"/>
      <c r="V7" s="151"/>
      <c r="W7" s="151"/>
      <c r="X7" s="151"/>
      <c r="Y7" s="151"/>
      <c r="Z7" s="151"/>
      <c r="AA7" s="151"/>
      <c r="AB7" s="4"/>
      <c r="AC7" s="4"/>
      <c r="AD7" s="4"/>
    </row>
    <row r="8">
      <c r="A8" s="71"/>
      <c r="B8" s="152"/>
      <c r="C8" s="145" t="s">
        <v>172</v>
      </c>
      <c r="D8" s="146" t="s">
        <v>169</v>
      </c>
      <c r="E8" s="157">
        <v>0.06</v>
      </c>
      <c r="F8" s="146"/>
      <c r="G8" s="146"/>
      <c r="H8" s="146"/>
      <c r="I8" s="146"/>
      <c r="J8" s="146"/>
      <c r="K8" s="146"/>
      <c r="L8" s="146"/>
      <c r="M8" s="146"/>
      <c r="N8" s="146"/>
      <c r="O8" s="146"/>
      <c r="P8" s="158">
        <v>0.25</v>
      </c>
      <c r="Q8" s="158">
        <v>0.24</v>
      </c>
      <c r="R8" s="158">
        <v>0.2</v>
      </c>
      <c r="S8" s="151"/>
      <c r="T8" s="151"/>
      <c r="U8" s="151"/>
      <c r="V8" s="151"/>
      <c r="W8" s="151"/>
      <c r="X8" s="151"/>
      <c r="Y8" s="151"/>
      <c r="Z8" s="151"/>
      <c r="AA8" s="151"/>
      <c r="AB8" s="4"/>
      <c r="AC8" s="4"/>
      <c r="AD8" s="4"/>
    </row>
    <row r="9">
      <c r="A9" s="71"/>
      <c r="B9" s="152"/>
      <c r="C9" s="159" t="s">
        <v>173</v>
      </c>
      <c r="D9" s="159" t="s">
        <v>156</v>
      </c>
      <c r="E9" s="160" t="s">
        <v>174</v>
      </c>
      <c r="F9" s="161"/>
      <c r="G9" s="161"/>
      <c r="H9" s="161"/>
      <c r="I9" s="161"/>
      <c r="J9" s="161"/>
      <c r="K9" s="161"/>
      <c r="L9" s="161"/>
      <c r="M9" s="161"/>
      <c r="N9" s="161"/>
      <c r="O9" s="161"/>
      <c r="P9" s="151"/>
      <c r="Q9" s="151"/>
      <c r="R9" s="151"/>
      <c r="S9" s="151"/>
      <c r="T9" s="151"/>
      <c r="U9" s="151"/>
      <c r="V9" s="151"/>
      <c r="W9" s="151"/>
      <c r="X9" s="151"/>
      <c r="Y9" s="151"/>
      <c r="Z9" s="151"/>
      <c r="AA9" s="151"/>
      <c r="AB9" s="4"/>
      <c r="AC9" s="4"/>
      <c r="AD9" s="4"/>
    </row>
    <row r="10">
      <c r="A10" s="71"/>
      <c r="B10" s="152"/>
      <c r="C10" s="146" t="s">
        <v>175</v>
      </c>
      <c r="D10" s="159" t="s">
        <v>176</v>
      </c>
      <c r="E10" s="147" t="s">
        <v>177</v>
      </c>
      <c r="F10" s="161"/>
      <c r="G10" s="161"/>
      <c r="H10" s="161"/>
      <c r="I10" s="161"/>
      <c r="J10" s="161"/>
      <c r="K10" s="161"/>
      <c r="L10" s="161"/>
      <c r="M10" s="161"/>
      <c r="N10" s="161"/>
      <c r="O10" s="161"/>
      <c r="P10" s="151"/>
      <c r="Q10" s="151"/>
      <c r="R10" s="151"/>
      <c r="S10" s="151"/>
      <c r="T10" s="151"/>
      <c r="U10" s="151"/>
      <c r="V10" s="151"/>
      <c r="W10" s="151"/>
      <c r="X10" s="151"/>
      <c r="Y10" s="151"/>
      <c r="Z10" s="151"/>
      <c r="AA10" s="151"/>
      <c r="AB10" s="4"/>
      <c r="AC10" s="4"/>
      <c r="AD10" s="4"/>
    </row>
    <row r="11">
      <c r="A11" s="74"/>
      <c r="B11" s="105"/>
      <c r="C11" s="162" t="s">
        <v>178</v>
      </c>
      <c r="D11" s="163" t="s">
        <v>176</v>
      </c>
      <c r="E11" s="163" t="s">
        <v>177</v>
      </c>
      <c r="F11" s="162"/>
      <c r="G11" s="162"/>
      <c r="H11" s="162"/>
      <c r="I11" s="162"/>
      <c r="J11" s="162"/>
      <c r="K11" s="162"/>
      <c r="L11" s="162"/>
      <c r="M11" s="162"/>
      <c r="N11" s="162"/>
      <c r="O11" s="162"/>
      <c r="P11" s="164"/>
      <c r="Q11" s="164"/>
      <c r="R11" s="164"/>
      <c r="S11" s="164"/>
      <c r="T11" s="164"/>
      <c r="U11" s="164"/>
      <c r="V11" s="164"/>
      <c r="W11" s="164"/>
      <c r="X11" s="164"/>
      <c r="Y11" s="164"/>
      <c r="Z11" s="164"/>
      <c r="AA11" s="164"/>
      <c r="AB11" s="4"/>
      <c r="AC11" s="4"/>
      <c r="AD11" s="4"/>
    </row>
    <row r="12">
      <c r="A12" s="165" t="s">
        <v>28</v>
      </c>
      <c r="B12" s="166" t="s">
        <v>179</v>
      </c>
      <c r="C12" s="167" t="s">
        <v>180</v>
      </c>
      <c r="D12" s="168" t="s">
        <v>156</v>
      </c>
      <c r="E12" s="169" t="s">
        <v>177</v>
      </c>
      <c r="F12" s="167"/>
      <c r="G12" s="170"/>
      <c r="H12" s="170"/>
      <c r="I12" s="170"/>
      <c r="J12" s="170"/>
      <c r="K12" s="170"/>
      <c r="L12" s="170"/>
      <c r="M12" s="170"/>
      <c r="N12" s="170"/>
      <c r="O12" s="170"/>
      <c r="P12" s="170"/>
      <c r="Q12" s="170"/>
      <c r="R12" s="170"/>
      <c r="S12" s="170"/>
      <c r="T12" s="170"/>
      <c r="U12" s="170"/>
      <c r="V12" s="170"/>
      <c r="W12" s="170"/>
      <c r="X12" s="170"/>
      <c r="Y12" s="170"/>
      <c r="Z12" s="170"/>
      <c r="AA12" s="170"/>
      <c r="AB12" s="4"/>
      <c r="AC12" s="4"/>
      <c r="AD12" s="4"/>
    </row>
    <row r="13">
      <c r="A13" s="71"/>
      <c r="B13" s="71"/>
      <c r="C13" s="145" t="s">
        <v>181</v>
      </c>
      <c r="D13" s="171" t="s">
        <v>156</v>
      </c>
      <c r="E13" s="147" t="s">
        <v>177</v>
      </c>
      <c r="F13" s="145"/>
      <c r="G13" s="151"/>
      <c r="H13" s="151"/>
      <c r="I13" s="151"/>
      <c r="J13" s="151"/>
      <c r="K13" s="151"/>
      <c r="L13" s="151"/>
      <c r="M13" s="151"/>
      <c r="N13" s="151"/>
      <c r="O13" s="151"/>
      <c r="P13" s="151"/>
      <c r="Q13" s="151"/>
      <c r="R13" s="151"/>
      <c r="S13" s="151"/>
      <c r="T13" s="151"/>
      <c r="U13" s="151"/>
      <c r="V13" s="151"/>
      <c r="W13" s="151"/>
      <c r="X13" s="151"/>
      <c r="Y13" s="151"/>
      <c r="Z13" s="151"/>
      <c r="AA13" s="151"/>
      <c r="AB13" s="4"/>
      <c r="AC13" s="4"/>
      <c r="AD13" s="4"/>
    </row>
    <row r="14">
      <c r="A14" s="71"/>
      <c r="B14" s="71"/>
      <c r="C14" s="159" t="s">
        <v>173</v>
      </c>
      <c r="D14" s="171" t="s">
        <v>156</v>
      </c>
      <c r="E14" s="160" t="s">
        <v>182</v>
      </c>
      <c r="F14" s="145"/>
      <c r="G14" s="151"/>
      <c r="H14" s="151"/>
      <c r="I14" s="151"/>
      <c r="J14" s="151"/>
      <c r="K14" s="151"/>
      <c r="L14" s="151"/>
      <c r="M14" s="151"/>
      <c r="N14" s="151"/>
      <c r="O14" s="151"/>
      <c r="P14" s="151"/>
      <c r="Q14" s="151"/>
      <c r="R14" s="151"/>
      <c r="S14" s="151"/>
      <c r="T14" s="151"/>
      <c r="U14" s="151"/>
      <c r="V14" s="151"/>
      <c r="W14" s="151"/>
      <c r="X14" s="151"/>
      <c r="Y14" s="151"/>
      <c r="Z14" s="151"/>
      <c r="AA14" s="151"/>
      <c r="AB14" s="4"/>
      <c r="AC14" s="4"/>
      <c r="AD14" s="4"/>
    </row>
    <row r="15">
      <c r="A15" s="74"/>
      <c r="B15" s="74"/>
      <c r="C15" s="172" t="s">
        <v>172</v>
      </c>
      <c r="D15" s="162" t="s">
        <v>169</v>
      </c>
      <c r="E15" s="173">
        <v>0.06</v>
      </c>
      <c r="F15" s="174"/>
      <c r="G15" s="175"/>
      <c r="H15" s="175"/>
      <c r="I15" s="175"/>
      <c r="J15" s="164"/>
      <c r="K15" s="164"/>
      <c r="L15" s="164"/>
      <c r="M15" s="176"/>
      <c r="N15" s="176"/>
      <c r="O15" s="176"/>
      <c r="P15" s="164"/>
      <c r="Q15" s="164"/>
      <c r="R15" s="164"/>
      <c r="S15" s="164"/>
      <c r="T15" s="164"/>
      <c r="U15" s="164"/>
      <c r="V15" s="164"/>
      <c r="W15" s="164"/>
      <c r="X15" s="164"/>
      <c r="Y15" s="164"/>
      <c r="Z15" s="164"/>
      <c r="AA15" s="164"/>
      <c r="AB15" s="4"/>
      <c r="AC15" s="4"/>
      <c r="AD15" s="4"/>
    </row>
    <row r="16">
      <c r="A16" s="177" t="s">
        <v>19</v>
      </c>
      <c r="B16" s="166" t="s">
        <v>183</v>
      </c>
      <c r="C16" s="160" t="s">
        <v>184</v>
      </c>
      <c r="D16" s="178" t="s">
        <v>164</v>
      </c>
      <c r="E16" s="169" t="s">
        <v>185</v>
      </c>
      <c r="F16" s="179"/>
      <c r="G16" s="179"/>
      <c r="H16" s="179"/>
      <c r="I16" s="179"/>
      <c r="J16" s="170"/>
      <c r="K16" s="170"/>
      <c r="L16" s="170"/>
      <c r="M16" s="170"/>
      <c r="N16" s="170"/>
      <c r="O16" s="170"/>
      <c r="P16" s="180">
        <v>0.0165</v>
      </c>
      <c r="Q16" s="180">
        <v>0.009</v>
      </c>
      <c r="R16" s="180">
        <v>0.0117</v>
      </c>
      <c r="S16" s="170"/>
      <c r="T16" s="170"/>
      <c r="U16" s="170"/>
      <c r="V16" s="170"/>
      <c r="W16" s="170"/>
      <c r="X16" s="170"/>
      <c r="Y16" s="170"/>
      <c r="Z16" s="170"/>
      <c r="AA16" s="170"/>
      <c r="AB16" s="4"/>
      <c r="AC16" s="4"/>
      <c r="AD16" s="4"/>
    </row>
    <row r="17">
      <c r="A17" s="152"/>
      <c r="B17" s="71"/>
      <c r="C17" s="145" t="s">
        <v>170</v>
      </c>
      <c r="D17" s="146" t="s">
        <v>169</v>
      </c>
      <c r="E17" s="147" t="s">
        <v>171</v>
      </c>
      <c r="F17" s="179"/>
      <c r="G17" s="179"/>
      <c r="H17" s="179"/>
      <c r="I17" s="179"/>
      <c r="J17" s="151"/>
      <c r="K17" s="151"/>
      <c r="L17" s="151"/>
      <c r="M17" s="151"/>
      <c r="N17" s="151"/>
      <c r="O17" s="151"/>
      <c r="P17" s="151"/>
      <c r="Q17" s="151"/>
      <c r="R17" s="151"/>
      <c r="S17" s="151"/>
      <c r="T17" s="151"/>
      <c r="U17" s="151"/>
      <c r="V17" s="151"/>
      <c r="W17" s="151"/>
      <c r="X17" s="151"/>
      <c r="Y17" s="151"/>
      <c r="Z17" s="151"/>
      <c r="AA17" s="151"/>
      <c r="AB17" s="4"/>
      <c r="AC17" s="4"/>
      <c r="AD17" s="4"/>
    </row>
    <row r="18">
      <c r="A18" s="152"/>
      <c r="B18" s="71"/>
      <c r="C18" s="145" t="s">
        <v>172</v>
      </c>
      <c r="D18" s="146" t="s">
        <v>169</v>
      </c>
      <c r="E18" s="157">
        <v>0.06</v>
      </c>
      <c r="F18" s="179"/>
      <c r="G18" s="179"/>
      <c r="H18" s="179"/>
      <c r="I18" s="179"/>
      <c r="J18" s="151"/>
      <c r="K18" s="151"/>
      <c r="L18" s="151"/>
      <c r="M18" s="151"/>
      <c r="N18" s="151"/>
      <c r="O18" s="151"/>
      <c r="P18" s="151"/>
      <c r="Q18" s="151"/>
      <c r="R18" s="151"/>
      <c r="S18" s="151"/>
      <c r="T18" s="151"/>
      <c r="U18" s="151"/>
      <c r="V18" s="151"/>
      <c r="W18" s="151"/>
      <c r="X18" s="151"/>
      <c r="Y18" s="151"/>
      <c r="Z18" s="151"/>
      <c r="AA18" s="151"/>
      <c r="AB18" s="4"/>
      <c r="AC18" s="4"/>
      <c r="AD18" s="4"/>
    </row>
    <row r="19">
      <c r="A19" s="152"/>
      <c r="B19" s="71"/>
      <c r="C19" s="181" t="s">
        <v>186</v>
      </c>
      <c r="D19" s="147" t="s">
        <v>169</v>
      </c>
      <c r="E19" s="147" t="s">
        <v>177</v>
      </c>
      <c r="F19" s="179"/>
      <c r="G19" s="179"/>
      <c r="H19" s="179"/>
      <c r="I19" s="179"/>
      <c r="J19" s="151"/>
      <c r="K19" s="151"/>
      <c r="L19" s="151"/>
      <c r="M19" s="151"/>
      <c r="N19" s="151"/>
      <c r="O19" s="151"/>
      <c r="P19" s="151"/>
      <c r="Q19" s="151"/>
      <c r="R19" s="151"/>
      <c r="S19" s="151"/>
      <c r="T19" s="151"/>
      <c r="U19" s="151"/>
      <c r="V19" s="151"/>
      <c r="W19" s="151"/>
      <c r="X19" s="151"/>
      <c r="Y19" s="151"/>
      <c r="Z19" s="151"/>
      <c r="AA19" s="151"/>
      <c r="AB19" s="4"/>
      <c r="AC19" s="4"/>
      <c r="AD19" s="4"/>
    </row>
    <row r="20">
      <c r="A20" s="152"/>
      <c r="B20" s="71"/>
      <c r="C20" s="159" t="s">
        <v>173</v>
      </c>
      <c r="D20" s="146" t="s">
        <v>156</v>
      </c>
      <c r="E20" s="160" t="s">
        <v>174</v>
      </c>
      <c r="F20" s="179"/>
      <c r="G20" s="179"/>
      <c r="H20" s="179"/>
      <c r="I20" s="179"/>
      <c r="J20" s="151"/>
      <c r="K20" s="151"/>
      <c r="L20" s="151"/>
      <c r="M20" s="151"/>
      <c r="N20" s="151"/>
      <c r="O20" s="151"/>
      <c r="P20" s="151"/>
      <c r="Q20" s="151"/>
      <c r="R20" s="151"/>
      <c r="S20" s="151"/>
      <c r="T20" s="151"/>
      <c r="U20" s="151"/>
      <c r="V20" s="151"/>
      <c r="W20" s="151"/>
      <c r="X20" s="151"/>
      <c r="Y20" s="151"/>
      <c r="Z20" s="151"/>
      <c r="AA20" s="151"/>
      <c r="AB20" s="4"/>
      <c r="AC20" s="4"/>
      <c r="AD20" s="4"/>
    </row>
    <row r="21">
      <c r="A21" s="152"/>
      <c r="B21" s="71"/>
      <c r="C21" s="182" t="s">
        <v>187</v>
      </c>
      <c r="D21" s="147" t="s">
        <v>156</v>
      </c>
      <c r="E21" s="147" t="s">
        <v>177</v>
      </c>
      <c r="F21" s="179"/>
      <c r="G21" s="179"/>
      <c r="H21" s="179"/>
      <c r="I21" s="179"/>
      <c r="J21" s="151"/>
      <c r="K21" s="151"/>
      <c r="L21" s="151"/>
      <c r="M21" s="151"/>
      <c r="N21" s="151"/>
      <c r="O21" s="151"/>
      <c r="P21" s="151"/>
      <c r="Q21" s="151"/>
      <c r="R21" s="151"/>
      <c r="S21" s="151"/>
      <c r="T21" s="151"/>
      <c r="U21" s="151"/>
      <c r="V21" s="151"/>
      <c r="W21" s="151"/>
      <c r="X21" s="151"/>
      <c r="Y21" s="151"/>
      <c r="Z21" s="151"/>
      <c r="AA21" s="151"/>
      <c r="AB21" s="4"/>
      <c r="AC21" s="4"/>
      <c r="AD21" s="4"/>
    </row>
    <row r="22">
      <c r="A22" s="152"/>
      <c r="B22" s="71"/>
      <c r="C22" s="182" t="s">
        <v>188</v>
      </c>
      <c r="D22" s="147" t="s">
        <v>156</v>
      </c>
      <c r="E22" s="147" t="s">
        <v>177</v>
      </c>
      <c r="F22" s="179"/>
      <c r="G22" s="179"/>
      <c r="H22" s="179"/>
      <c r="I22" s="179"/>
      <c r="J22" s="151"/>
      <c r="K22" s="151"/>
      <c r="L22" s="151"/>
      <c r="M22" s="151"/>
      <c r="N22" s="151"/>
      <c r="O22" s="151"/>
      <c r="P22" s="151"/>
      <c r="Q22" s="151"/>
      <c r="R22" s="151"/>
      <c r="S22" s="151"/>
      <c r="T22" s="151"/>
      <c r="U22" s="151"/>
      <c r="V22" s="151"/>
      <c r="W22" s="151"/>
      <c r="X22" s="151"/>
      <c r="Y22" s="151"/>
      <c r="Z22" s="151"/>
      <c r="AA22" s="151"/>
      <c r="AB22" s="4"/>
      <c r="AC22" s="4"/>
      <c r="AD22" s="4"/>
    </row>
    <row r="23">
      <c r="A23" s="105"/>
      <c r="B23" s="74"/>
      <c r="C23" s="183" t="s">
        <v>189</v>
      </c>
      <c r="D23" s="163" t="s">
        <v>156</v>
      </c>
      <c r="E23" s="163" t="s">
        <v>177</v>
      </c>
      <c r="F23" s="184"/>
      <c r="G23" s="184"/>
      <c r="H23" s="184"/>
      <c r="I23" s="184"/>
      <c r="J23" s="164"/>
      <c r="K23" s="164"/>
      <c r="L23" s="164"/>
      <c r="M23" s="164"/>
      <c r="N23" s="164"/>
      <c r="O23" s="164"/>
      <c r="P23" s="164"/>
      <c r="Q23" s="164"/>
      <c r="R23" s="164"/>
      <c r="S23" s="164"/>
      <c r="T23" s="164"/>
      <c r="U23" s="164"/>
      <c r="V23" s="164"/>
      <c r="W23" s="164"/>
      <c r="X23" s="164"/>
      <c r="Y23" s="164"/>
      <c r="Z23" s="164"/>
      <c r="AA23" s="164"/>
      <c r="AB23" s="4"/>
      <c r="AC23" s="4"/>
      <c r="AD23" s="4"/>
    </row>
    <row r="24">
      <c r="A24" s="185" t="s">
        <v>30</v>
      </c>
      <c r="B24" s="186" t="s">
        <v>190</v>
      </c>
      <c r="C24" s="187" t="s">
        <v>191</v>
      </c>
      <c r="D24" s="161" t="s">
        <v>164</v>
      </c>
      <c r="E24" s="179">
        <v>385.0</v>
      </c>
      <c r="F24" s="179"/>
      <c r="G24" s="179"/>
      <c r="H24" s="179"/>
      <c r="I24" s="179"/>
      <c r="J24" s="170"/>
      <c r="K24" s="170"/>
      <c r="L24" s="170"/>
      <c r="M24" s="170"/>
      <c r="N24" s="170"/>
      <c r="O24" s="170"/>
      <c r="P24" s="188">
        <v>892.0</v>
      </c>
      <c r="Q24" s="188">
        <v>767.0</v>
      </c>
      <c r="R24" s="188">
        <v>880.0</v>
      </c>
      <c r="S24" s="170"/>
      <c r="T24" s="170"/>
      <c r="U24" s="170"/>
      <c r="V24" s="170"/>
      <c r="W24" s="170"/>
      <c r="X24" s="170"/>
      <c r="Y24" s="170"/>
      <c r="Z24" s="170"/>
      <c r="AA24" s="170"/>
      <c r="AB24" s="4"/>
      <c r="AC24" s="4"/>
      <c r="AD24" s="4"/>
    </row>
    <row r="25">
      <c r="A25" s="152"/>
      <c r="B25" s="71"/>
      <c r="C25" s="145" t="s">
        <v>173</v>
      </c>
      <c r="D25" s="146" t="s">
        <v>156</v>
      </c>
      <c r="E25" s="160" t="s">
        <v>174</v>
      </c>
      <c r="F25" s="179"/>
      <c r="G25" s="179"/>
      <c r="H25" s="179"/>
      <c r="I25" s="179"/>
      <c r="J25" s="170"/>
      <c r="K25" s="170"/>
      <c r="L25" s="170"/>
      <c r="M25" s="170"/>
      <c r="N25" s="170"/>
      <c r="O25" s="170"/>
      <c r="P25" s="151"/>
      <c r="Q25" s="151"/>
      <c r="R25" s="151"/>
      <c r="S25" s="151"/>
      <c r="T25" s="151"/>
      <c r="U25" s="151"/>
      <c r="V25" s="151"/>
      <c r="W25" s="151"/>
      <c r="X25" s="151"/>
      <c r="Y25" s="151"/>
      <c r="Z25" s="151"/>
      <c r="AA25" s="151"/>
      <c r="AB25" s="4"/>
      <c r="AC25" s="4"/>
      <c r="AD25" s="4"/>
    </row>
    <row r="26">
      <c r="A26" s="152"/>
      <c r="B26" s="71"/>
      <c r="C26" s="182" t="s">
        <v>192</v>
      </c>
      <c r="D26" s="146" t="s">
        <v>176</v>
      </c>
      <c r="E26" s="147" t="s">
        <v>177</v>
      </c>
      <c r="F26" s="179"/>
      <c r="G26" s="179"/>
      <c r="H26" s="179"/>
      <c r="I26" s="179"/>
      <c r="J26" s="170"/>
      <c r="K26" s="170"/>
      <c r="L26" s="170"/>
      <c r="M26" s="170"/>
      <c r="N26" s="170"/>
      <c r="O26" s="170"/>
      <c r="P26" s="151"/>
      <c r="Q26" s="151"/>
      <c r="R26" s="151"/>
      <c r="S26" s="151"/>
      <c r="T26" s="151"/>
      <c r="U26" s="151"/>
      <c r="V26" s="151"/>
      <c r="W26" s="151"/>
      <c r="X26" s="151"/>
      <c r="Y26" s="151"/>
      <c r="Z26" s="151"/>
      <c r="AA26" s="151"/>
      <c r="AB26" s="4"/>
      <c r="AC26" s="4"/>
      <c r="AD26" s="4"/>
    </row>
    <row r="27">
      <c r="A27" s="152"/>
      <c r="B27" s="71"/>
      <c r="C27" s="182" t="s">
        <v>193</v>
      </c>
      <c r="D27" s="146" t="s">
        <v>176</v>
      </c>
      <c r="E27" s="147" t="s">
        <v>177</v>
      </c>
      <c r="F27" s="179"/>
      <c r="G27" s="179"/>
      <c r="H27" s="179"/>
      <c r="I27" s="179"/>
      <c r="J27" s="151"/>
      <c r="K27" s="151"/>
      <c r="L27" s="151"/>
      <c r="M27" s="151"/>
      <c r="N27" s="151"/>
      <c r="O27" s="151"/>
      <c r="P27" s="151"/>
      <c r="Q27" s="151"/>
      <c r="R27" s="151"/>
      <c r="S27" s="151"/>
      <c r="T27" s="151"/>
      <c r="U27" s="151"/>
      <c r="V27" s="151"/>
      <c r="W27" s="151"/>
      <c r="X27" s="151"/>
      <c r="Y27" s="151"/>
      <c r="Z27" s="151"/>
      <c r="AA27" s="151"/>
      <c r="AB27" s="4"/>
      <c r="AC27" s="4"/>
      <c r="AD27" s="4"/>
    </row>
    <row r="28">
      <c r="A28" s="105"/>
      <c r="B28" s="74"/>
      <c r="C28" s="183" t="s">
        <v>194</v>
      </c>
      <c r="D28" s="163" t="s">
        <v>176</v>
      </c>
      <c r="E28" s="163" t="s">
        <v>177</v>
      </c>
      <c r="F28" s="184"/>
      <c r="G28" s="184"/>
      <c r="H28" s="184"/>
      <c r="I28" s="184"/>
      <c r="J28" s="164"/>
      <c r="K28" s="164"/>
      <c r="L28" s="164"/>
      <c r="M28" s="164"/>
      <c r="N28" s="164"/>
      <c r="O28" s="164"/>
      <c r="P28" s="164"/>
      <c r="Q28" s="164"/>
      <c r="R28" s="164"/>
      <c r="S28" s="164"/>
      <c r="T28" s="164"/>
      <c r="U28" s="164"/>
      <c r="V28" s="164"/>
      <c r="W28" s="164"/>
      <c r="X28" s="164"/>
      <c r="Y28" s="164"/>
      <c r="Z28" s="164"/>
      <c r="AA28" s="164"/>
      <c r="AB28" s="4"/>
      <c r="AC28" s="4"/>
      <c r="AD28" s="4"/>
    </row>
    <row r="29">
      <c r="A29" s="177" t="s">
        <v>195</v>
      </c>
      <c r="B29" s="189" t="s">
        <v>196</v>
      </c>
      <c r="C29" s="160" t="s">
        <v>184</v>
      </c>
      <c r="D29" s="178" t="s">
        <v>164</v>
      </c>
      <c r="E29" s="147" t="s">
        <v>185</v>
      </c>
      <c r="F29" s="179"/>
      <c r="G29" s="170"/>
      <c r="H29" s="170"/>
      <c r="I29" s="170"/>
      <c r="J29" s="170"/>
      <c r="K29" s="170"/>
      <c r="L29" s="170"/>
      <c r="M29" s="170"/>
      <c r="N29" s="170"/>
      <c r="O29" s="170"/>
      <c r="P29" s="170"/>
      <c r="Q29" s="170"/>
      <c r="R29" s="170"/>
      <c r="S29" s="170"/>
      <c r="T29" s="170"/>
      <c r="U29" s="170"/>
      <c r="V29" s="170"/>
      <c r="W29" s="170"/>
      <c r="X29" s="170"/>
      <c r="Y29" s="170"/>
      <c r="Z29" s="170"/>
      <c r="AA29" s="170"/>
      <c r="AB29" s="4"/>
      <c r="AC29" s="4"/>
      <c r="AD29" s="4"/>
    </row>
    <row r="30">
      <c r="A30" s="152"/>
      <c r="B30" s="71"/>
      <c r="C30" s="145" t="s">
        <v>163</v>
      </c>
      <c r="D30" s="146" t="s">
        <v>164</v>
      </c>
      <c r="E30" s="147" t="s">
        <v>165</v>
      </c>
      <c r="F30" s="179"/>
      <c r="G30" s="170"/>
      <c r="H30" s="170"/>
      <c r="I30" s="170"/>
      <c r="J30" s="170"/>
      <c r="K30" s="170"/>
      <c r="L30" s="170"/>
      <c r="M30" s="170"/>
      <c r="N30" s="170"/>
      <c r="O30" s="170"/>
      <c r="P30" s="190">
        <v>0.9075</v>
      </c>
      <c r="Q30" s="190">
        <v>0.9024</v>
      </c>
      <c r="R30" s="190">
        <v>0.8774</v>
      </c>
      <c r="S30" s="151"/>
      <c r="T30" s="151"/>
      <c r="U30" s="151"/>
      <c r="V30" s="151"/>
      <c r="W30" s="151"/>
      <c r="X30" s="151"/>
      <c r="Y30" s="151"/>
      <c r="Z30" s="151"/>
      <c r="AA30" s="151"/>
      <c r="AB30" s="4"/>
      <c r="AC30" s="4"/>
      <c r="AD30" s="4"/>
    </row>
    <row r="31">
      <c r="A31" s="152"/>
      <c r="B31" s="71"/>
      <c r="C31" s="191" t="s">
        <v>197</v>
      </c>
      <c r="D31" s="146" t="s">
        <v>164</v>
      </c>
      <c r="E31" s="182" t="s">
        <v>198</v>
      </c>
      <c r="F31" s="179"/>
      <c r="G31" s="170"/>
      <c r="H31" s="170"/>
      <c r="I31" s="170"/>
      <c r="J31" s="170"/>
      <c r="K31" s="170"/>
      <c r="L31" s="170"/>
      <c r="M31" s="170"/>
      <c r="N31" s="170"/>
      <c r="O31" s="170"/>
      <c r="P31" s="153">
        <v>5.82</v>
      </c>
      <c r="Q31" s="153">
        <v>5.45</v>
      </c>
      <c r="R31" s="153">
        <v>4.43</v>
      </c>
      <c r="S31" s="151"/>
      <c r="T31" s="151"/>
      <c r="U31" s="151"/>
      <c r="V31" s="151"/>
      <c r="W31" s="151"/>
      <c r="X31" s="151"/>
      <c r="Y31" s="151"/>
      <c r="Z31" s="151"/>
      <c r="AA31" s="151"/>
      <c r="AB31" s="4"/>
      <c r="AC31" s="4"/>
      <c r="AD31" s="4"/>
    </row>
    <row r="32">
      <c r="A32" s="152"/>
      <c r="B32" s="71"/>
      <c r="C32" s="154" t="s">
        <v>168</v>
      </c>
      <c r="D32" s="147" t="s">
        <v>169</v>
      </c>
      <c r="E32" s="155">
        <v>5.5</v>
      </c>
      <c r="F32" s="191"/>
      <c r="G32" s="151"/>
      <c r="H32" s="151"/>
      <c r="I32" s="151"/>
      <c r="J32" s="151"/>
      <c r="K32" s="151"/>
      <c r="L32" s="151"/>
      <c r="M32" s="151"/>
      <c r="N32" s="151"/>
      <c r="O32" s="151"/>
      <c r="P32" s="151"/>
      <c r="Q32" s="151"/>
      <c r="R32" s="151"/>
      <c r="S32" s="151"/>
      <c r="T32" s="151"/>
      <c r="U32" s="151"/>
      <c r="V32" s="151"/>
      <c r="W32" s="151"/>
      <c r="X32" s="151"/>
      <c r="Y32" s="151"/>
      <c r="Z32" s="151"/>
      <c r="AA32" s="151"/>
      <c r="AB32" s="4"/>
      <c r="AC32" s="4"/>
      <c r="AD32" s="4"/>
    </row>
    <row r="33">
      <c r="A33" s="152"/>
      <c r="B33" s="71"/>
      <c r="C33" s="191" t="s">
        <v>199</v>
      </c>
      <c r="D33" s="147" t="s">
        <v>169</v>
      </c>
      <c r="E33" s="147" t="s">
        <v>200</v>
      </c>
      <c r="F33" s="191"/>
      <c r="G33" s="151"/>
      <c r="H33" s="151"/>
      <c r="I33" s="151"/>
      <c r="J33" s="151"/>
      <c r="K33" s="151"/>
      <c r="L33" s="151"/>
      <c r="M33" s="151"/>
      <c r="N33" s="151"/>
      <c r="O33" s="151"/>
      <c r="P33" s="151"/>
      <c r="Q33" s="151"/>
      <c r="R33" s="151"/>
      <c r="S33" s="151"/>
      <c r="T33" s="151"/>
      <c r="U33" s="151"/>
      <c r="V33" s="151"/>
      <c r="W33" s="151"/>
      <c r="X33" s="151"/>
      <c r="Y33" s="151"/>
      <c r="Z33" s="151"/>
      <c r="AA33" s="151"/>
      <c r="AB33" s="4"/>
      <c r="AC33" s="4"/>
      <c r="AD33" s="4"/>
    </row>
    <row r="34">
      <c r="A34" s="152"/>
      <c r="B34" s="71"/>
      <c r="C34" s="145" t="s">
        <v>170</v>
      </c>
      <c r="D34" s="146" t="s">
        <v>169</v>
      </c>
      <c r="E34" s="147" t="s">
        <v>171</v>
      </c>
      <c r="F34" s="191"/>
      <c r="G34" s="151"/>
      <c r="H34" s="151"/>
      <c r="I34" s="151"/>
      <c r="J34" s="151"/>
      <c r="K34" s="151"/>
      <c r="L34" s="151"/>
      <c r="M34" s="151"/>
      <c r="N34" s="151"/>
      <c r="O34" s="151"/>
      <c r="P34" s="151"/>
      <c r="Q34" s="151"/>
      <c r="R34" s="151"/>
      <c r="S34" s="151"/>
      <c r="T34" s="151"/>
      <c r="U34" s="151"/>
      <c r="V34" s="151"/>
      <c r="W34" s="151"/>
      <c r="X34" s="151"/>
      <c r="Y34" s="151"/>
      <c r="Z34" s="151"/>
      <c r="AA34" s="151"/>
      <c r="AB34" s="4"/>
      <c r="AC34" s="4"/>
      <c r="AD34" s="4"/>
    </row>
    <row r="35">
      <c r="A35" s="152"/>
      <c r="B35" s="71"/>
      <c r="C35" s="145" t="s">
        <v>172</v>
      </c>
      <c r="D35" s="146" t="s">
        <v>169</v>
      </c>
      <c r="E35" s="157">
        <v>0.06</v>
      </c>
      <c r="F35" s="191"/>
      <c r="G35" s="151"/>
      <c r="H35" s="151"/>
      <c r="I35" s="151"/>
      <c r="J35" s="151"/>
      <c r="K35" s="151"/>
      <c r="L35" s="151"/>
      <c r="M35" s="151"/>
      <c r="N35" s="151"/>
      <c r="O35" s="151"/>
      <c r="P35" s="151"/>
      <c r="Q35" s="151"/>
      <c r="R35" s="151"/>
      <c r="S35" s="151"/>
      <c r="T35" s="151"/>
      <c r="U35" s="151"/>
      <c r="V35" s="151"/>
      <c r="W35" s="151"/>
      <c r="X35" s="151"/>
      <c r="Y35" s="151"/>
      <c r="Z35" s="151"/>
      <c r="AA35" s="151"/>
      <c r="AB35" s="4"/>
      <c r="AC35" s="4"/>
      <c r="AD35" s="4"/>
    </row>
    <row r="36">
      <c r="A36" s="152"/>
      <c r="B36" s="71"/>
      <c r="C36" s="191" t="s">
        <v>173</v>
      </c>
      <c r="D36" s="147" t="s">
        <v>156</v>
      </c>
      <c r="E36" s="160" t="s">
        <v>174</v>
      </c>
      <c r="F36" s="191"/>
      <c r="G36" s="151"/>
      <c r="H36" s="151"/>
      <c r="I36" s="151"/>
      <c r="J36" s="151"/>
      <c r="K36" s="151"/>
      <c r="L36" s="151"/>
      <c r="M36" s="151"/>
      <c r="N36" s="151"/>
      <c r="O36" s="151"/>
      <c r="P36" s="151"/>
      <c r="Q36" s="151"/>
      <c r="R36" s="151"/>
      <c r="S36" s="151"/>
      <c r="T36" s="151"/>
      <c r="U36" s="151"/>
      <c r="V36" s="151"/>
      <c r="W36" s="151"/>
      <c r="X36" s="151"/>
      <c r="Y36" s="151"/>
      <c r="Z36" s="151"/>
      <c r="AA36" s="151"/>
      <c r="AB36" s="4"/>
      <c r="AC36" s="4"/>
      <c r="AD36" s="4"/>
    </row>
    <row r="37">
      <c r="A37" s="152"/>
      <c r="B37" s="71"/>
      <c r="C37" s="182" t="s">
        <v>188</v>
      </c>
      <c r="D37" s="147" t="s">
        <v>156</v>
      </c>
      <c r="E37" s="147" t="s">
        <v>201</v>
      </c>
      <c r="F37" s="191"/>
      <c r="G37" s="151"/>
      <c r="H37" s="151"/>
      <c r="I37" s="151"/>
      <c r="J37" s="151"/>
      <c r="K37" s="151"/>
      <c r="L37" s="151"/>
      <c r="M37" s="151"/>
      <c r="N37" s="151"/>
      <c r="O37" s="151"/>
      <c r="P37" s="151"/>
      <c r="Q37" s="151"/>
      <c r="R37" s="151"/>
      <c r="S37" s="151"/>
      <c r="T37" s="151"/>
      <c r="U37" s="151"/>
      <c r="V37" s="151"/>
      <c r="W37" s="151"/>
      <c r="X37" s="151"/>
      <c r="Y37" s="151"/>
      <c r="Z37" s="151"/>
      <c r="AA37" s="151"/>
      <c r="AB37" s="4"/>
      <c r="AC37" s="4"/>
      <c r="AD37" s="4"/>
    </row>
    <row r="38">
      <c r="A38" s="152"/>
      <c r="B38" s="71"/>
      <c r="C38" s="146" t="s">
        <v>175</v>
      </c>
      <c r="D38" s="159" t="s">
        <v>176</v>
      </c>
      <c r="E38" s="147" t="s">
        <v>177</v>
      </c>
      <c r="F38" s="192"/>
      <c r="G38" s="151"/>
      <c r="H38" s="151"/>
      <c r="I38" s="151"/>
      <c r="J38" s="151"/>
      <c r="K38" s="151"/>
      <c r="L38" s="151"/>
      <c r="M38" s="151"/>
      <c r="N38" s="151"/>
      <c r="O38" s="151"/>
      <c r="P38" s="151"/>
      <c r="Q38" s="151"/>
      <c r="R38" s="151"/>
      <c r="S38" s="151"/>
      <c r="T38" s="151"/>
      <c r="U38" s="151"/>
      <c r="V38" s="151"/>
      <c r="W38" s="151"/>
      <c r="X38" s="151"/>
      <c r="Y38" s="151"/>
      <c r="Z38" s="151"/>
      <c r="AA38" s="151"/>
      <c r="AB38" s="4"/>
      <c r="AC38" s="4"/>
      <c r="AD38" s="4"/>
    </row>
    <row r="39">
      <c r="A39" s="105"/>
      <c r="B39" s="74"/>
      <c r="C39" s="162" t="s">
        <v>178</v>
      </c>
      <c r="D39" s="163" t="s">
        <v>176</v>
      </c>
      <c r="E39" s="163" t="s">
        <v>177</v>
      </c>
      <c r="F39" s="184"/>
      <c r="G39" s="164"/>
      <c r="H39" s="164"/>
      <c r="I39" s="164"/>
      <c r="J39" s="164"/>
      <c r="K39" s="164"/>
      <c r="L39" s="164"/>
      <c r="M39" s="164"/>
      <c r="N39" s="164"/>
      <c r="O39" s="164"/>
      <c r="P39" s="164"/>
      <c r="Q39" s="164"/>
      <c r="R39" s="164"/>
      <c r="S39" s="164"/>
      <c r="T39" s="164"/>
      <c r="U39" s="164"/>
      <c r="V39" s="164"/>
      <c r="W39" s="164"/>
      <c r="X39" s="164"/>
      <c r="Y39" s="164"/>
      <c r="Z39" s="164"/>
      <c r="AA39" s="164"/>
      <c r="AB39" s="4"/>
      <c r="AC39" s="4"/>
      <c r="AD39" s="4"/>
    </row>
    <row r="40">
      <c r="A40" s="185" t="s">
        <v>136</v>
      </c>
      <c r="B40" s="166" t="s">
        <v>202</v>
      </c>
      <c r="C40" s="179" t="s">
        <v>203</v>
      </c>
      <c r="D40" s="178" t="s">
        <v>164</v>
      </c>
      <c r="E40" s="182" t="s">
        <v>198</v>
      </c>
      <c r="F40" s="179"/>
      <c r="G40" s="170"/>
      <c r="H40" s="170"/>
      <c r="I40" s="170"/>
      <c r="J40" s="170"/>
      <c r="K40" s="170"/>
      <c r="L40" s="170"/>
      <c r="M40" s="170"/>
      <c r="N40" s="170"/>
      <c r="O40" s="170"/>
      <c r="P40" s="193">
        <v>8.2</v>
      </c>
      <c r="Q40" s="193">
        <v>8.69</v>
      </c>
      <c r="R40" s="188">
        <v>8.39</v>
      </c>
      <c r="S40" s="170"/>
      <c r="T40" s="170"/>
      <c r="U40" s="170"/>
      <c r="V40" s="170"/>
      <c r="W40" s="170"/>
      <c r="X40" s="170"/>
      <c r="Y40" s="170"/>
      <c r="Z40" s="170"/>
      <c r="AA40" s="170"/>
      <c r="AB40" s="4"/>
      <c r="AC40" s="4"/>
      <c r="AD40" s="4"/>
    </row>
    <row r="41">
      <c r="A41" s="152"/>
      <c r="B41" s="71"/>
      <c r="C41" s="191" t="s">
        <v>163</v>
      </c>
      <c r="D41" s="146" t="s">
        <v>164</v>
      </c>
      <c r="E41" s="147" t="s">
        <v>165</v>
      </c>
      <c r="F41" s="191"/>
      <c r="G41" s="151"/>
      <c r="H41" s="151"/>
      <c r="I41" s="151"/>
      <c r="J41" s="151"/>
      <c r="K41" s="151"/>
      <c r="L41" s="151"/>
      <c r="M41" s="151"/>
      <c r="N41" s="151"/>
      <c r="O41" s="151"/>
      <c r="P41" s="190">
        <v>0.9447</v>
      </c>
      <c r="Q41" s="190">
        <v>0.9311</v>
      </c>
      <c r="R41" s="190">
        <v>0.947</v>
      </c>
      <c r="S41" s="151"/>
      <c r="T41" s="151"/>
      <c r="U41" s="151"/>
      <c r="V41" s="151"/>
      <c r="W41" s="151"/>
      <c r="X41" s="151"/>
      <c r="Y41" s="151"/>
      <c r="Z41" s="151"/>
      <c r="AA41" s="151"/>
      <c r="AB41" s="4"/>
      <c r="AC41" s="4"/>
      <c r="AD41" s="4"/>
    </row>
    <row r="42">
      <c r="A42" s="152"/>
      <c r="B42" s="71"/>
      <c r="C42" s="145" t="s">
        <v>170</v>
      </c>
      <c r="D42" s="146" t="s">
        <v>156</v>
      </c>
      <c r="E42" s="147" t="s">
        <v>171</v>
      </c>
      <c r="F42" s="191"/>
      <c r="G42" s="151"/>
      <c r="H42" s="151"/>
      <c r="I42" s="151"/>
      <c r="J42" s="151"/>
      <c r="K42" s="151"/>
      <c r="L42" s="151"/>
      <c r="M42" s="151"/>
      <c r="N42" s="151"/>
      <c r="O42" s="151"/>
      <c r="P42" s="151"/>
      <c r="Q42" s="151"/>
      <c r="R42" s="151"/>
      <c r="S42" s="151"/>
      <c r="T42" s="151"/>
      <c r="U42" s="151"/>
      <c r="V42" s="151"/>
      <c r="W42" s="151"/>
      <c r="X42" s="151"/>
      <c r="Y42" s="151"/>
      <c r="Z42" s="151"/>
      <c r="AA42" s="151"/>
      <c r="AB42" s="4"/>
      <c r="AC42" s="4"/>
      <c r="AD42" s="4"/>
    </row>
    <row r="43">
      <c r="A43" s="152"/>
      <c r="B43" s="71"/>
      <c r="C43" s="154" t="s">
        <v>168</v>
      </c>
      <c r="D43" s="146" t="s">
        <v>156</v>
      </c>
      <c r="E43" s="155">
        <v>5.5</v>
      </c>
      <c r="F43" s="191"/>
      <c r="G43" s="151"/>
      <c r="H43" s="151"/>
      <c r="I43" s="151"/>
      <c r="J43" s="151"/>
      <c r="K43" s="151"/>
      <c r="L43" s="151"/>
      <c r="M43" s="151"/>
      <c r="N43" s="151"/>
      <c r="O43" s="151"/>
      <c r="P43" s="151"/>
      <c r="Q43" s="151"/>
      <c r="R43" s="151"/>
      <c r="S43" s="151"/>
      <c r="T43" s="151"/>
      <c r="U43" s="151"/>
      <c r="V43" s="151"/>
      <c r="W43" s="151"/>
      <c r="X43" s="151"/>
      <c r="Y43" s="151"/>
      <c r="Z43" s="151"/>
      <c r="AA43" s="151"/>
      <c r="AB43" s="4"/>
      <c r="AC43" s="4"/>
      <c r="AD43" s="4"/>
    </row>
    <row r="44">
      <c r="A44" s="152"/>
      <c r="B44" s="71"/>
      <c r="C44" s="191" t="s">
        <v>204</v>
      </c>
      <c r="D44" s="146" t="s">
        <v>156</v>
      </c>
      <c r="E44" s="160" t="s">
        <v>174</v>
      </c>
      <c r="F44" s="191"/>
      <c r="G44" s="151"/>
      <c r="H44" s="151"/>
      <c r="I44" s="151"/>
      <c r="J44" s="151"/>
      <c r="K44" s="151"/>
      <c r="L44" s="151"/>
      <c r="M44" s="151"/>
      <c r="N44" s="151"/>
      <c r="O44" s="151"/>
      <c r="P44" s="151"/>
      <c r="Q44" s="151"/>
      <c r="R44" s="151"/>
      <c r="S44" s="151"/>
      <c r="T44" s="151"/>
      <c r="U44" s="151"/>
      <c r="V44" s="151"/>
      <c r="W44" s="151"/>
      <c r="X44" s="151"/>
      <c r="Y44" s="151"/>
      <c r="Z44" s="151"/>
      <c r="AA44" s="151"/>
      <c r="AB44" s="4"/>
      <c r="AC44" s="4"/>
      <c r="AD44" s="4"/>
    </row>
    <row r="45">
      <c r="A45" s="152"/>
      <c r="B45" s="71"/>
      <c r="C45" s="191" t="s">
        <v>199</v>
      </c>
      <c r="D45" s="146" t="s">
        <v>176</v>
      </c>
      <c r="E45" s="147" t="s">
        <v>200</v>
      </c>
      <c r="F45" s="191"/>
      <c r="G45" s="151"/>
      <c r="H45" s="151"/>
      <c r="I45" s="151"/>
      <c r="J45" s="151"/>
      <c r="K45" s="151"/>
      <c r="L45" s="151"/>
      <c r="M45" s="151"/>
      <c r="N45" s="151"/>
      <c r="O45" s="151"/>
      <c r="P45" s="151"/>
      <c r="Q45" s="151"/>
      <c r="R45" s="151"/>
      <c r="S45" s="151"/>
      <c r="T45" s="151"/>
      <c r="U45" s="151"/>
      <c r="V45" s="151"/>
      <c r="W45" s="151"/>
      <c r="X45" s="151"/>
      <c r="Y45" s="151"/>
      <c r="Z45" s="151"/>
      <c r="AA45" s="151"/>
      <c r="AB45" s="4"/>
      <c r="AC45" s="4"/>
      <c r="AD45" s="4"/>
    </row>
    <row r="46">
      <c r="A46" s="152"/>
      <c r="B46" s="71"/>
      <c r="C46" s="182" t="s">
        <v>205</v>
      </c>
      <c r="D46" s="146" t="s">
        <v>176</v>
      </c>
      <c r="E46" s="147" t="s">
        <v>177</v>
      </c>
      <c r="F46" s="191"/>
      <c r="G46" s="151"/>
      <c r="H46" s="151"/>
      <c r="I46" s="151"/>
      <c r="J46" s="151"/>
      <c r="K46" s="151"/>
      <c r="L46" s="151"/>
      <c r="M46" s="151"/>
      <c r="N46" s="151"/>
      <c r="O46" s="151"/>
      <c r="P46" s="151"/>
      <c r="Q46" s="151"/>
      <c r="R46" s="151"/>
      <c r="S46" s="151"/>
      <c r="T46" s="151"/>
      <c r="U46" s="151"/>
      <c r="V46" s="151"/>
      <c r="W46" s="151"/>
      <c r="X46" s="151"/>
      <c r="Y46" s="151"/>
      <c r="Z46" s="151"/>
      <c r="AA46" s="151"/>
      <c r="AB46" s="4"/>
      <c r="AC46" s="4"/>
      <c r="AD46" s="4"/>
    </row>
    <row r="47">
      <c r="A47" s="152"/>
      <c r="B47" s="71"/>
      <c r="C47" s="145" t="s">
        <v>172</v>
      </c>
      <c r="D47" s="146" t="s">
        <v>169</v>
      </c>
      <c r="E47" s="157">
        <v>0.06</v>
      </c>
      <c r="F47" s="191"/>
      <c r="G47" s="151"/>
      <c r="H47" s="151"/>
      <c r="I47" s="151"/>
      <c r="J47" s="151"/>
      <c r="K47" s="151"/>
      <c r="L47" s="151"/>
      <c r="M47" s="151"/>
      <c r="N47" s="151"/>
      <c r="O47" s="151"/>
      <c r="P47" s="151"/>
      <c r="Q47" s="151"/>
      <c r="R47" s="151"/>
      <c r="S47" s="151"/>
      <c r="T47" s="151"/>
      <c r="U47" s="151"/>
      <c r="V47" s="151"/>
      <c r="W47" s="151"/>
      <c r="X47" s="151"/>
      <c r="Y47" s="151"/>
      <c r="Z47" s="151"/>
      <c r="AA47" s="151"/>
      <c r="AB47" s="4"/>
      <c r="AC47" s="4"/>
      <c r="AD47" s="4"/>
    </row>
    <row r="48">
      <c r="A48" s="152"/>
      <c r="B48" s="71"/>
      <c r="C48" s="146" t="s">
        <v>175</v>
      </c>
      <c r="D48" s="159" t="s">
        <v>176</v>
      </c>
      <c r="E48" s="147" t="s">
        <v>177</v>
      </c>
      <c r="F48" s="191"/>
      <c r="G48" s="151"/>
      <c r="H48" s="151"/>
      <c r="I48" s="151"/>
      <c r="J48" s="151"/>
      <c r="K48" s="151"/>
      <c r="L48" s="151"/>
      <c r="M48" s="151"/>
      <c r="N48" s="151"/>
      <c r="O48" s="151"/>
      <c r="P48" s="151"/>
      <c r="Q48" s="151"/>
      <c r="R48" s="151"/>
      <c r="S48" s="151"/>
      <c r="T48" s="151"/>
      <c r="U48" s="151"/>
      <c r="V48" s="151"/>
      <c r="W48" s="151"/>
      <c r="X48" s="151"/>
      <c r="Y48" s="151"/>
      <c r="Z48" s="151"/>
      <c r="AA48" s="151"/>
      <c r="AB48" s="4"/>
      <c r="AC48" s="4"/>
      <c r="AD48" s="4"/>
    </row>
    <row r="49">
      <c r="A49" s="194"/>
      <c r="B49" s="195"/>
      <c r="C49" s="162" t="s">
        <v>178</v>
      </c>
      <c r="D49" s="163" t="s">
        <v>176</v>
      </c>
      <c r="E49" s="163" t="s">
        <v>177</v>
      </c>
      <c r="F49" s="184"/>
      <c r="G49" s="164"/>
      <c r="H49" s="164"/>
      <c r="I49" s="164"/>
      <c r="J49" s="164"/>
      <c r="K49" s="164"/>
      <c r="L49" s="164"/>
      <c r="M49" s="164"/>
      <c r="N49" s="164"/>
      <c r="O49" s="164"/>
      <c r="P49" s="164"/>
      <c r="Q49" s="164"/>
      <c r="R49" s="164"/>
      <c r="S49" s="164"/>
      <c r="T49" s="164"/>
      <c r="U49" s="164"/>
      <c r="V49" s="164"/>
      <c r="W49" s="164"/>
      <c r="X49" s="164"/>
      <c r="Y49" s="164"/>
      <c r="Z49" s="164"/>
      <c r="AA49" s="164"/>
      <c r="AB49" s="4"/>
      <c r="AC49" s="4"/>
      <c r="AD49" s="4"/>
    </row>
    <row r="50">
      <c r="A50" s="185" t="s">
        <v>32</v>
      </c>
      <c r="B50" s="166" t="s">
        <v>206</v>
      </c>
      <c r="C50" s="191" t="s">
        <v>166</v>
      </c>
      <c r="D50" s="147" t="s">
        <v>164</v>
      </c>
      <c r="E50" s="182" t="s">
        <v>198</v>
      </c>
      <c r="F50" s="179"/>
      <c r="G50" s="170"/>
      <c r="H50" s="170"/>
      <c r="I50" s="170"/>
      <c r="J50" s="170"/>
      <c r="K50" s="170"/>
      <c r="L50" s="170"/>
      <c r="M50" s="170"/>
      <c r="N50" s="170"/>
      <c r="O50" s="170"/>
      <c r="P50" s="188">
        <v>12.69</v>
      </c>
      <c r="Q50" s="188">
        <v>12.33</v>
      </c>
      <c r="R50" s="188">
        <v>11.0</v>
      </c>
      <c r="S50" s="170"/>
      <c r="T50" s="170"/>
      <c r="U50" s="170"/>
      <c r="V50" s="170"/>
      <c r="W50" s="170"/>
      <c r="X50" s="170"/>
      <c r="Y50" s="170"/>
      <c r="Z50" s="170"/>
      <c r="AA50" s="170"/>
      <c r="AB50" s="4"/>
      <c r="AC50" s="4"/>
      <c r="AD50" s="4"/>
    </row>
    <row r="51">
      <c r="A51" s="152"/>
      <c r="B51" s="71"/>
      <c r="C51" s="191" t="s">
        <v>163</v>
      </c>
      <c r="D51" s="146" t="s">
        <v>164</v>
      </c>
      <c r="E51" s="147" t="s">
        <v>165</v>
      </c>
      <c r="F51" s="191"/>
      <c r="G51" s="151"/>
      <c r="H51" s="151"/>
      <c r="I51" s="151"/>
      <c r="J51" s="151"/>
      <c r="K51" s="151"/>
      <c r="L51" s="151"/>
      <c r="M51" s="151"/>
      <c r="N51" s="151"/>
      <c r="O51" s="151"/>
      <c r="P51" s="190">
        <v>0.8185</v>
      </c>
      <c r="Q51" s="190">
        <v>0.8259</v>
      </c>
      <c r="R51" s="190">
        <v>0.8508</v>
      </c>
      <c r="S51" s="151"/>
      <c r="T51" s="151"/>
      <c r="U51" s="151"/>
      <c r="V51" s="151"/>
      <c r="W51" s="151"/>
      <c r="X51" s="151"/>
      <c r="Y51" s="151"/>
      <c r="Z51" s="151"/>
      <c r="AA51" s="151"/>
      <c r="AB51" s="4"/>
      <c r="AC51" s="4"/>
      <c r="AD51" s="4"/>
    </row>
    <row r="52">
      <c r="A52" s="152"/>
      <c r="B52" s="71"/>
      <c r="C52" s="154" t="s">
        <v>168</v>
      </c>
      <c r="D52" s="146" t="s">
        <v>169</v>
      </c>
      <c r="E52" s="155">
        <v>5.5</v>
      </c>
      <c r="F52" s="191"/>
      <c r="G52" s="151"/>
      <c r="H52" s="151"/>
      <c r="I52" s="151"/>
      <c r="J52" s="151"/>
      <c r="K52" s="151"/>
      <c r="L52" s="151"/>
      <c r="M52" s="151"/>
      <c r="N52" s="151"/>
      <c r="O52" s="151"/>
      <c r="P52" s="151"/>
      <c r="Q52" s="151"/>
      <c r="R52" s="151"/>
      <c r="S52" s="151"/>
      <c r="T52" s="151"/>
      <c r="U52" s="151"/>
      <c r="V52" s="151"/>
      <c r="W52" s="151"/>
      <c r="X52" s="151"/>
      <c r="Y52" s="151"/>
      <c r="Z52" s="151"/>
      <c r="AA52" s="151"/>
      <c r="AB52" s="4"/>
      <c r="AC52" s="4"/>
      <c r="AD52" s="4"/>
    </row>
    <row r="53" ht="35.25" customHeight="1">
      <c r="A53" s="152"/>
      <c r="B53" s="71"/>
      <c r="C53" s="145" t="s">
        <v>170</v>
      </c>
      <c r="D53" s="146" t="s">
        <v>169</v>
      </c>
      <c r="E53" s="147" t="s">
        <v>171</v>
      </c>
      <c r="F53" s="191"/>
      <c r="G53" s="151"/>
      <c r="H53" s="151"/>
      <c r="I53" s="151"/>
      <c r="J53" s="151"/>
      <c r="K53" s="151"/>
      <c r="L53" s="151"/>
      <c r="M53" s="151"/>
      <c r="N53" s="151"/>
      <c r="O53" s="151"/>
      <c r="P53" s="151"/>
      <c r="Q53" s="151"/>
      <c r="R53" s="151"/>
      <c r="S53" s="151"/>
      <c r="T53" s="151"/>
      <c r="U53" s="151"/>
      <c r="V53" s="151"/>
      <c r="W53" s="151"/>
      <c r="X53" s="151"/>
      <c r="Y53" s="151"/>
      <c r="Z53" s="151"/>
      <c r="AA53" s="151"/>
      <c r="AB53" s="4"/>
      <c r="AC53" s="4"/>
      <c r="AD53" s="4"/>
    </row>
    <row r="54">
      <c r="A54" s="152"/>
      <c r="B54" s="71"/>
      <c r="C54" s="191" t="s">
        <v>207</v>
      </c>
      <c r="D54" s="146" t="s">
        <v>169</v>
      </c>
      <c r="E54" s="160" t="s">
        <v>174</v>
      </c>
      <c r="F54" s="191"/>
      <c r="G54" s="151"/>
      <c r="H54" s="151"/>
      <c r="I54" s="151"/>
      <c r="J54" s="151"/>
      <c r="K54" s="151"/>
      <c r="L54" s="151"/>
      <c r="M54" s="151"/>
      <c r="N54" s="151"/>
      <c r="O54" s="151"/>
      <c r="P54" s="151"/>
      <c r="Q54" s="151"/>
      <c r="R54" s="151"/>
      <c r="S54" s="151"/>
      <c r="T54" s="151"/>
      <c r="U54" s="151"/>
      <c r="V54" s="151"/>
      <c r="W54" s="151"/>
      <c r="X54" s="151"/>
      <c r="Y54" s="151"/>
      <c r="Z54" s="151"/>
      <c r="AA54" s="151"/>
      <c r="AB54" s="4"/>
      <c r="AC54" s="4"/>
      <c r="AD54" s="4"/>
    </row>
    <row r="55">
      <c r="A55" s="152"/>
      <c r="B55" s="71"/>
      <c r="C55" s="145" t="s">
        <v>172</v>
      </c>
      <c r="D55" s="146" t="s">
        <v>169</v>
      </c>
      <c r="E55" s="157">
        <v>0.06</v>
      </c>
      <c r="F55" s="191"/>
      <c r="G55" s="151"/>
      <c r="H55" s="151"/>
      <c r="I55" s="151"/>
      <c r="J55" s="151"/>
      <c r="K55" s="151"/>
      <c r="L55" s="151"/>
      <c r="M55" s="151"/>
      <c r="N55" s="151"/>
      <c r="O55" s="151"/>
      <c r="P55" s="151"/>
      <c r="Q55" s="151"/>
      <c r="R55" s="151"/>
      <c r="S55" s="151"/>
      <c r="T55" s="151"/>
      <c r="U55" s="151"/>
      <c r="V55" s="151"/>
      <c r="W55" s="151"/>
      <c r="X55" s="151"/>
      <c r="Y55" s="151"/>
      <c r="Z55" s="151"/>
      <c r="AA55" s="151"/>
      <c r="AB55" s="4"/>
      <c r="AC55" s="4"/>
      <c r="AD55" s="4"/>
    </row>
    <row r="56">
      <c r="A56" s="152"/>
      <c r="B56" s="71"/>
      <c r="C56" s="191" t="s">
        <v>199</v>
      </c>
      <c r="D56" s="147" t="s">
        <v>169</v>
      </c>
      <c r="E56" s="147" t="s">
        <v>200</v>
      </c>
      <c r="F56" s="146"/>
      <c r="G56" s="151"/>
      <c r="H56" s="151"/>
      <c r="I56" s="151"/>
      <c r="J56" s="151"/>
      <c r="K56" s="151"/>
      <c r="L56" s="151"/>
      <c r="M56" s="151"/>
      <c r="N56" s="151"/>
      <c r="O56" s="151"/>
      <c r="P56" s="151"/>
      <c r="Q56" s="151"/>
      <c r="R56" s="151"/>
      <c r="S56" s="151"/>
      <c r="T56" s="151"/>
      <c r="U56" s="151"/>
      <c r="V56" s="151"/>
      <c r="W56" s="151"/>
      <c r="X56" s="151"/>
      <c r="Y56" s="151"/>
      <c r="Z56" s="151"/>
      <c r="AA56" s="151"/>
      <c r="AB56" s="4"/>
      <c r="AC56" s="4"/>
      <c r="AD56" s="4"/>
    </row>
    <row r="57">
      <c r="A57" s="152"/>
      <c r="B57" s="71"/>
      <c r="C57" s="179" t="s">
        <v>208</v>
      </c>
      <c r="D57" s="178" t="s">
        <v>176</v>
      </c>
      <c r="E57" s="147" t="s">
        <v>177</v>
      </c>
      <c r="F57" s="146"/>
      <c r="G57" s="151"/>
      <c r="H57" s="151"/>
      <c r="I57" s="151"/>
      <c r="J57" s="151"/>
      <c r="K57" s="151"/>
      <c r="L57" s="151"/>
      <c r="M57" s="151"/>
      <c r="N57" s="151"/>
      <c r="O57" s="151"/>
      <c r="P57" s="151"/>
      <c r="Q57" s="151"/>
      <c r="R57" s="151"/>
      <c r="S57" s="151"/>
      <c r="T57" s="151"/>
      <c r="U57" s="151"/>
      <c r="V57" s="151"/>
      <c r="W57" s="151"/>
      <c r="X57" s="151"/>
      <c r="Y57" s="151"/>
      <c r="Z57" s="151"/>
      <c r="AA57" s="151"/>
      <c r="AB57" s="4"/>
      <c r="AC57" s="4"/>
      <c r="AD57" s="4"/>
    </row>
    <row r="58">
      <c r="A58" s="152"/>
      <c r="B58" s="71"/>
      <c r="C58" s="191" t="s">
        <v>175</v>
      </c>
      <c r="D58" s="146" t="s">
        <v>176</v>
      </c>
      <c r="E58" s="147" t="s">
        <v>177</v>
      </c>
      <c r="F58" s="146"/>
      <c r="G58" s="151"/>
      <c r="H58" s="151"/>
      <c r="I58" s="151"/>
      <c r="J58" s="151"/>
      <c r="K58" s="151"/>
      <c r="L58" s="151"/>
      <c r="M58" s="151"/>
      <c r="N58" s="151"/>
      <c r="O58" s="151"/>
      <c r="P58" s="151"/>
      <c r="Q58" s="151"/>
      <c r="R58" s="151"/>
      <c r="S58" s="151"/>
      <c r="T58" s="151"/>
      <c r="U58" s="151"/>
      <c r="V58" s="151"/>
      <c r="W58" s="151"/>
      <c r="X58" s="151"/>
      <c r="Y58" s="151"/>
      <c r="Z58" s="151"/>
      <c r="AA58" s="151"/>
      <c r="AB58" s="4"/>
      <c r="AC58" s="4"/>
      <c r="AD58" s="4"/>
    </row>
    <row r="59">
      <c r="A59" s="105"/>
      <c r="B59" s="74"/>
      <c r="C59" s="196" t="s">
        <v>178</v>
      </c>
      <c r="D59" s="162" t="s">
        <v>176</v>
      </c>
      <c r="E59" s="163" t="s">
        <v>177</v>
      </c>
      <c r="F59" s="162"/>
      <c r="G59" s="164"/>
      <c r="H59" s="164"/>
      <c r="I59" s="164"/>
      <c r="J59" s="164"/>
      <c r="K59" s="164"/>
      <c r="L59" s="164"/>
      <c r="M59" s="164"/>
      <c r="N59" s="164"/>
      <c r="O59" s="164"/>
      <c r="P59" s="164"/>
      <c r="Q59" s="164"/>
      <c r="R59" s="164"/>
      <c r="S59" s="164"/>
      <c r="T59" s="164"/>
      <c r="U59" s="164"/>
      <c r="V59" s="164"/>
      <c r="W59" s="164"/>
      <c r="X59" s="164"/>
      <c r="Y59" s="164"/>
      <c r="Z59" s="164"/>
      <c r="AA59" s="164"/>
      <c r="AB59" s="4"/>
      <c r="AC59" s="4"/>
      <c r="AD59" s="4"/>
    </row>
    <row r="60">
      <c r="A60" s="197" t="s">
        <v>138</v>
      </c>
      <c r="B60" s="189" t="s">
        <v>209</v>
      </c>
      <c r="C60" s="160" t="s">
        <v>184</v>
      </c>
      <c r="D60" s="178" t="s">
        <v>164</v>
      </c>
      <c r="E60" s="147" t="s">
        <v>185</v>
      </c>
      <c r="F60" s="179"/>
      <c r="G60" s="170"/>
      <c r="H60" s="170"/>
      <c r="I60" s="170"/>
      <c r="J60" s="170"/>
      <c r="K60" s="170"/>
      <c r="L60" s="170"/>
      <c r="M60" s="170"/>
      <c r="N60" s="170"/>
      <c r="O60" s="170"/>
      <c r="P60" s="170"/>
      <c r="Q60" s="170"/>
      <c r="R60" s="170"/>
      <c r="S60" s="170"/>
      <c r="T60" s="170"/>
      <c r="U60" s="170"/>
      <c r="V60" s="170"/>
      <c r="W60" s="170"/>
      <c r="X60" s="170"/>
      <c r="Y60" s="170"/>
      <c r="Z60" s="170"/>
      <c r="AA60" s="170"/>
      <c r="AB60" s="4"/>
      <c r="AC60" s="4"/>
      <c r="AD60" s="4"/>
    </row>
    <row r="61">
      <c r="A61" s="71"/>
      <c r="B61" s="71"/>
      <c r="C61" s="191" t="s">
        <v>210</v>
      </c>
      <c r="D61" s="147" t="s">
        <v>164</v>
      </c>
      <c r="E61" s="169" t="s">
        <v>211</v>
      </c>
      <c r="F61" s="179"/>
      <c r="G61" s="170"/>
      <c r="H61" s="170"/>
      <c r="I61" s="170"/>
      <c r="J61" s="170"/>
      <c r="K61" s="170"/>
      <c r="L61" s="170"/>
      <c r="M61" s="170"/>
      <c r="N61" s="170"/>
      <c r="O61" s="170"/>
      <c r="P61" s="153">
        <v>12.89</v>
      </c>
      <c r="Q61" s="153">
        <v>12.51</v>
      </c>
      <c r="R61" s="153">
        <v>12.32</v>
      </c>
      <c r="S61" s="151"/>
      <c r="T61" s="151"/>
      <c r="U61" s="151"/>
      <c r="V61" s="151"/>
      <c r="W61" s="151"/>
      <c r="X61" s="151"/>
      <c r="Y61" s="151"/>
      <c r="Z61" s="151"/>
      <c r="AA61" s="151"/>
      <c r="AB61" s="4"/>
      <c r="AC61" s="4"/>
      <c r="AD61" s="4"/>
    </row>
    <row r="62">
      <c r="A62" s="71"/>
      <c r="B62" s="71"/>
      <c r="C62" s="191" t="s">
        <v>212</v>
      </c>
      <c r="D62" s="146" t="s">
        <v>164</v>
      </c>
      <c r="E62" s="169" t="s">
        <v>213</v>
      </c>
      <c r="F62" s="179"/>
      <c r="G62" s="170"/>
      <c r="H62" s="170"/>
      <c r="I62" s="170"/>
      <c r="J62" s="170"/>
      <c r="K62" s="170"/>
      <c r="L62" s="170"/>
      <c r="M62" s="170"/>
      <c r="N62" s="170"/>
      <c r="O62" s="170"/>
      <c r="P62" s="190">
        <v>0.9699</v>
      </c>
      <c r="Q62" s="190">
        <v>0.9679</v>
      </c>
      <c r="R62" s="190">
        <v>0.9667</v>
      </c>
      <c r="S62" s="151"/>
      <c r="T62" s="151"/>
      <c r="U62" s="151"/>
      <c r="V62" s="151"/>
      <c r="W62" s="151"/>
      <c r="X62" s="151"/>
      <c r="Y62" s="151"/>
      <c r="Z62" s="151"/>
      <c r="AA62" s="151"/>
      <c r="AB62" s="4"/>
      <c r="AC62" s="4"/>
      <c r="AD62" s="4"/>
    </row>
    <row r="63">
      <c r="A63" s="71"/>
      <c r="B63" s="71"/>
      <c r="C63" s="154" t="s">
        <v>168</v>
      </c>
      <c r="D63" s="146" t="s">
        <v>169</v>
      </c>
      <c r="E63" s="155">
        <v>5.5</v>
      </c>
      <c r="F63" s="191"/>
      <c r="G63" s="151"/>
      <c r="H63" s="151"/>
      <c r="I63" s="151"/>
      <c r="J63" s="151"/>
      <c r="K63" s="151"/>
      <c r="L63" s="151"/>
      <c r="M63" s="151"/>
      <c r="N63" s="151"/>
      <c r="O63" s="151"/>
      <c r="P63" s="151"/>
      <c r="Q63" s="151"/>
      <c r="R63" s="151"/>
      <c r="S63" s="151"/>
      <c r="T63" s="151"/>
      <c r="U63" s="151"/>
      <c r="V63" s="151"/>
      <c r="W63" s="151"/>
      <c r="X63" s="151"/>
      <c r="Y63" s="151"/>
      <c r="Z63" s="151"/>
      <c r="AA63" s="151"/>
      <c r="AB63" s="4"/>
      <c r="AC63" s="4"/>
      <c r="AD63" s="4"/>
    </row>
    <row r="64">
      <c r="A64" s="71"/>
      <c r="B64" s="71"/>
      <c r="C64" s="179" t="s">
        <v>199</v>
      </c>
      <c r="D64" s="169" t="s">
        <v>169</v>
      </c>
      <c r="E64" s="169" t="s">
        <v>200</v>
      </c>
      <c r="F64" s="167"/>
      <c r="G64" s="167"/>
      <c r="H64" s="167"/>
      <c r="I64" s="167"/>
      <c r="J64" s="151"/>
      <c r="K64" s="151"/>
      <c r="L64" s="151"/>
      <c r="M64" s="151"/>
      <c r="N64" s="151"/>
      <c r="O64" s="151"/>
      <c r="P64" s="151"/>
      <c r="Q64" s="151"/>
      <c r="R64" s="151"/>
      <c r="S64" s="151"/>
      <c r="T64" s="151"/>
      <c r="U64" s="151"/>
      <c r="V64" s="151"/>
      <c r="W64" s="151"/>
      <c r="X64" s="151"/>
      <c r="Y64" s="151"/>
      <c r="Z64" s="151"/>
      <c r="AA64" s="151"/>
      <c r="AB64" s="4"/>
      <c r="AC64" s="4"/>
      <c r="AD64" s="4"/>
    </row>
    <row r="65">
      <c r="A65" s="71"/>
      <c r="B65" s="71"/>
      <c r="C65" s="145" t="s">
        <v>170</v>
      </c>
      <c r="D65" s="198" t="s">
        <v>169</v>
      </c>
      <c r="E65" s="147" t="s">
        <v>171</v>
      </c>
      <c r="F65" s="145"/>
      <c r="G65" s="145"/>
      <c r="H65" s="145"/>
      <c r="I65" s="145"/>
      <c r="J65" s="151"/>
      <c r="K65" s="151"/>
      <c r="L65" s="151"/>
      <c r="M65" s="151"/>
      <c r="N65" s="151"/>
      <c r="O65" s="151"/>
      <c r="P65" s="151"/>
      <c r="Q65" s="151"/>
      <c r="R65" s="151"/>
      <c r="S65" s="151"/>
      <c r="T65" s="151"/>
      <c r="U65" s="151"/>
      <c r="V65" s="151"/>
      <c r="W65" s="151"/>
      <c r="X65" s="151"/>
      <c r="Y65" s="151"/>
      <c r="Z65" s="151"/>
      <c r="AA65" s="151"/>
      <c r="AB65" s="4"/>
      <c r="AC65" s="4"/>
      <c r="AD65" s="4"/>
    </row>
    <row r="66">
      <c r="A66" s="71"/>
      <c r="B66" s="71"/>
      <c r="C66" s="145" t="s">
        <v>172</v>
      </c>
      <c r="D66" s="198" t="s">
        <v>169</v>
      </c>
      <c r="E66" s="157">
        <v>0.06</v>
      </c>
      <c r="F66" s="199"/>
      <c r="G66" s="145"/>
      <c r="H66" s="145"/>
      <c r="I66" s="145"/>
      <c r="J66" s="151"/>
      <c r="K66" s="151"/>
      <c r="L66" s="151"/>
      <c r="M66" s="151"/>
      <c r="N66" s="151"/>
      <c r="O66" s="151"/>
      <c r="P66" s="151"/>
      <c r="Q66" s="151"/>
      <c r="R66" s="151"/>
      <c r="S66" s="151"/>
      <c r="T66" s="151"/>
      <c r="U66" s="151"/>
      <c r="V66" s="151"/>
      <c r="W66" s="151"/>
      <c r="X66" s="151"/>
      <c r="Y66" s="151"/>
      <c r="Z66" s="151"/>
      <c r="AA66" s="151"/>
      <c r="AB66" s="4"/>
      <c r="AC66" s="4"/>
      <c r="AD66" s="4"/>
    </row>
    <row r="67">
      <c r="A67" s="71"/>
      <c r="B67" s="71"/>
      <c r="C67" s="182" t="s">
        <v>188</v>
      </c>
      <c r="D67" s="147" t="s">
        <v>156</v>
      </c>
      <c r="E67" s="147" t="s">
        <v>201</v>
      </c>
      <c r="F67" s="199"/>
      <c r="G67" s="145"/>
      <c r="H67" s="145"/>
      <c r="I67" s="145"/>
      <c r="J67" s="151"/>
      <c r="K67" s="151"/>
      <c r="L67" s="151"/>
      <c r="M67" s="151"/>
      <c r="N67" s="151"/>
      <c r="O67" s="151"/>
      <c r="P67" s="151"/>
      <c r="Q67" s="151"/>
      <c r="R67" s="151"/>
      <c r="S67" s="151"/>
      <c r="T67" s="151"/>
      <c r="U67" s="151"/>
      <c r="V67" s="151"/>
      <c r="W67" s="151"/>
      <c r="X67" s="151"/>
      <c r="Y67" s="151"/>
      <c r="Z67" s="151"/>
      <c r="AA67" s="151"/>
      <c r="AB67" s="4"/>
      <c r="AC67" s="4"/>
      <c r="AD67" s="4"/>
    </row>
    <row r="68">
      <c r="A68" s="71"/>
      <c r="B68" s="71"/>
      <c r="C68" s="147" t="s">
        <v>214</v>
      </c>
      <c r="D68" s="146" t="s">
        <v>156</v>
      </c>
      <c r="E68" s="147" t="s">
        <v>177</v>
      </c>
      <c r="F68" s="200"/>
      <c r="G68" s="151"/>
      <c r="H68" s="151"/>
      <c r="I68" s="151"/>
      <c r="J68" s="151"/>
      <c r="K68" s="151"/>
      <c r="L68" s="151"/>
      <c r="M68" s="151"/>
      <c r="N68" s="151"/>
      <c r="O68" s="151"/>
      <c r="P68" s="151"/>
      <c r="Q68" s="151"/>
      <c r="R68" s="151"/>
      <c r="S68" s="151"/>
      <c r="T68" s="151"/>
      <c r="U68" s="151"/>
      <c r="V68" s="151"/>
      <c r="W68" s="151"/>
      <c r="X68" s="151"/>
      <c r="Y68" s="151"/>
      <c r="Z68" s="151"/>
      <c r="AA68" s="151"/>
      <c r="AB68" s="4"/>
      <c r="AC68" s="4"/>
      <c r="AD68" s="4"/>
    </row>
    <row r="69">
      <c r="A69" s="71"/>
      <c r="B69" s="71"/>
      <c r="C69" s="191" t="s">
        <v>173</v>
      </c>
      <c r="D69" s="146" t="s">
        <v>156</v>
      </c>
      <c r="E69" s="160" t="s">
        <v>174</v>
      </c>
      <c r="F69" s="200"/>
      <c r="G69" s="201"/>
      <c r="H69" s="151"/>
      <c r="I69" s="151"/>
      <c r="J69" s="151"/>
      <c r="K69" s="151"/>
      <c r="L69" s="151"/>
      <c r="M69" s="151"/>
      <c r="N69" s="151"/>
      <c r="O69" s="151"/>
      <c r="P69" s="151"/>
      <c r="Q69" s="151"/>
      <c r="R69" s="151"/>
      <c r="S69" s="151"/>
      <c r="T69" s="151"/>
      <c r="U69" s="151"/>
      <c r="V69" s="151"/>
      <c r="W69" s="151"/>
      <c r="X69" s="151"/>
      <c r="Y69" s="151"/>
      <c r="Z69" s="151"/>
      <c r="AA69" s="151"/>
      <c r="AB69" s="4"/>
      <c r="AC69" s="4"/>
      <c r="AD69" s="4"/>
    </row>
    <row r="70">
      <c r="A70" s="71"/>
      <c r="B70" s="71"/>
      <c r="C70" s="191" t="s">
        <v>175</v>
      </c>
      <c r="D70" s="146" t="s">
        <v>176</v>
      </c>
      <c r="E70" s="147" t="s">
        <v>177</v>
      </c>
      <c r="F70" s="200"/>
      <c r="G70" s="201"/>
      <c r="H70" s="151"/>
      <c r="I70" s="151"/>
      <c r="J70" s="151"/>
      <c r="K70" s="151"/>
      <c r="L70" s="151"/>
      <c r="M70" s="151"/>
      <c r="N70" s="151"/>
      <c r="O70" s="151"/>
      <c r="P70" s="151"/>
      <c r="Q70" s="151"/>
      <c r="R70" s="151"/>
      <c r="S70" s="151"/>
      <c r="T70" s="151"/>
      <c r="U70" s="151"/>
      <c r="V70" s="151"/>
      <c r="W70" s="151"/>
      <c r="X70" s="151"/>
      <c r="Y70" s="151"/>
      <c r="Z70" s="151"/>
      <c r="AA70" s="151"/>
      <c r="AB70" s="4"/>
      <c r="AC70" s="4"/>
      <c r="AD70" s="4"/>
    </row>
    <row r="71">
      <c r="A71" s="74"/>
      <c r="B71" s="74"/>
      <c r="C71" s="196" t="s">
        <v>178</v>
      </c>
      <c r="D71" s="162" t="s">
        <v>176</v>
      </c>
      <c r="E71" s="163" t="s">
        <v>177</v>
      </c>
      <c r="F71" s="196"/>
      <c r="G71" s="202"/>
      <c r="H71" s="164"/>
      <c r="I71" s="164"/>
      <c r="J71" s="164"/>
      <c r="K71" s="164"/>
      <c r="L71" s="164"/>
      <c r="M71" s="164"/>
      <c r="N71" s="164"/>
      <c r="O71" s="164"/>
      <c r="P71" s="164"/>
      <c r="Q71" s="164"/>
      <c r="R71" s="164"/>
      <c r="S71" s="164"/>
      <c r="T71" s="164"/>
      <c r="U71" s="164"/>
      <c r="V71" s="164"/>
      <c r="W71" s="164"/>
      <c r="X71" s="164"/>
      <c r="Y71" s="164"/>
      <c r="Z71" s="164"/>
      <c r="AA71" s="164"/>
      <c r="AB71" s="4"/>
      <c r="AC71" s="4"/>
      <c r="AD71" s="4"/>
    </row>
    <row r="72">
      <c r="A72" s="185" t="s">
        <v>139</v>
      </c>
      <c r="B72" s="189" t="s">
        <v>209</v>
      </c>
      <c r="C72" s="179" t="s">
        <v>215</v>
      </c>
      <c r="D72" s="178" t="s">
        <v>164</v>
      </c>
      <c r="E72" s="160" t="s">
        <v>185</v>
      </c>
      <c r="F72" s="179"/>
      <c r="G72" s="170"/>
      <c r="H72" s="170"/>
      <c r="I72" s="170"/>
      <c r="J72" s="170"/>
      <c r="K72" s="170"/>
      <c r="L72" s="170"/>
      <c r="M72" s="170"/>
      <c r="N72" s="170"/>
      <c r="O72" s="170"/>
      <c r="P72" s="170"/>
      <c r="Q72" s="170"/>
      <c r="R72" s="170"/>
      <c r="S72" s="170"/>
      <c r="T72" s="170"/>
      <c r="U72" s="170"/>
      <c r="V72" s="170"/>
      <c r="W72" s="170"/>
      <c r="X72" s="170"/>
      <c r="Y72" s="170"/>
      <c r="Z72" s="170"/>
      <c r="AA72" s="170"/>
      <c r="AB72" s="4"/>
      <c r="AC72" s="4"/>
      <c r="AD72" s="4"/>
    </row>
    <row r="73">
      <c r="A73" s="152"/>
      <c r="B73" s="71"/>
      <c r="C73" s="191" t="s">
        <v>216</v>
      </c>
      <c r="D73" s="147" t="s">
        <v>164</v>
      </c>
      <c r="E73" s="146" t="s">
        <v>211</v>
      </c>
      <c r="F73" s="179"/>
      <c r="G73" s="170"/>
      <c r="H73" s="170"/>
      <c r="I73" s="170"/>
      <c r="J73" s="170"/>
      <c r="K73" s="170"/>
      <c r="L73" s="170"/>
      <c r="M73" s="170"/>
      <c r="N73" s="170"/>
      <c r="O73" s="170"/>
      <c r="P73" s="153">
        <v>4.32</v>
      </c>
      <c r="Q73" s="153">
        <v>3.78</v>
      </c>
      <c r="R73" s="203">
        <v>3.7</v>
      </c>
      <c r="S73" s="151"/>
      <c r="T73" s="151"/>
      <c r="U73" s="151"/>
      <c r="V73" s="151"/>
      <c r="W73" s="151"/>
      <c r="X73" s="151"/>
      <c r="Y73" s="151"/>
      <c r="Z73" s="151"/>
      <c r="AA73" s="151"/>
      <c r="AB73" s="4"/>
      <c r="AC73" s="4"/>
      <c r="AD73" s="4"/>
    </row>
    <row r="74">
      <c r="A74" s="152"/>
      <c r="B74" s="71"/>
      <c r="C74" s="191" t="s">
        <v>212</v>
      </c>
      <c r="D74" s="146" t="s">
        <v>164</v>
      </c>
      <c r="E74" s="146" t="s">
        <v>213</v>
      </c>
      <c r="F74" s="179"/>
      <c r="G74" s="170"/>
      <c r="H74" s="170"/>
      <c r="I74" s="170"/>
      <c r="J74" s="170"/>
      <c r="K74" s="170"/>
      <c r="L74" s="170"/>
      <c r="M74" s="170"/>
      <c r="N74" s="170"/>
      <c r="O74" s="170"/>
      <c r="P74" s="190">
        <v>0.9151</v>
      </c>
      <c r="Q74" s="190">
        <v>0.8917</v>
      </c>
      <c r="R74" s="190">
        <v>0.9032</v>
      </c>
      <c r="S74" s="151"/>
      <c r="T74" s="151"/>
      <c r="U74" s="151"/>
      <c r="V74" s="151"/>
      <c r="W74" s="151"/>
      <c r="X74" s="151"/>
      <c r="Y74" s="151"/>
      <c r="Z74" s="151"/>
      <c r="AA74" s="151"/>
      <c r="AB74" s="4"/>
      <c r="AC74" s="4"/>
      <c r="AD74" s="4"/>
    </row>
    <row r="75">
      <c r="A75" s="152"/>
      <c r="B75" s="71"/>
      <c r="C75" s="154" t="s">
        <v>168</v>
      </c>
      <c r="D75" s="146" t="s">
        <v>169</v>
      </c>
      <c r="E75" s="204">
        <v>5.5</v>
      </c>
      <c r="F75" s="179"/>
      <c r="G75" s="170"/>
      <c r="H75" s="170"/>
      <c r="I75" s="170"/>
      <c r="J75" s="170"/>
      <c r="K75" s="170"/>
      <c r="L75" s="170"/>
      <c r="M75" s="170"/>
      <c r="N75" s="170"/>
      <c r="O75" s="170"/>
      <c r="P75" s="151"/>
      <c r="Q75" s="151"/>
      <c r="R75" s="151"/>
      <c r="S75" s="151"/>
      <c r="T75" s="151"/>
      <c r="U75" s="151"/>
      <c r="V75" s="151"/>
      <c r="W75" s="151"/>
      <c r="X75" s="151"/>
      <c r="Y75" s="151"/>
      <c r="Z75" s="151"/>
      <c r="AA75" s="151"/>
      <c r="AB75" s="4"/>
      <c r="AC75" s="4"/>
      <c r="AD75" s="4"/>
    </row>
    <row r="76">
      <c r="A76" s="152"/>
      <c r="B76" s="71"/>
      <c r="C76" s="154" t="s">
        <v>199</v>
      </c>
      <c r="D76" s="147" t="s">
        <v>169</v>
      </c>
      <c r="E76" s="182" t="s">
        <v>200</v>
      </c>
      <c r="F76" s="191"/>
      <c r="G76" s="151"/>
      <c r="H76" s="151"/>
      <c r="I76" s="151"/>
      <c r="J76" s="151"/>
      <c r="K76" s="151"/>
      <c r="L76" s="151"/>
      <c r="M76" s="151"/>
      <c r="N76" s="151"/>
      <c r="O76" s="151"/>
      <c r="P76" s="151"/>
      <c r="Q76" s="151"/>
      <c r="R76" s="151"/>
      <c r="S76" s="151"/>
      <c r="T76" s="151"/>
      <c r="U76" s="151"/>
      <c r="V76" s="151"/>
      <c r="W76" s="151"/>
      <c r="X76" s="151"/>
      <c r="Y76" s="151"/>
      <c r="Z76" s="151"/>
      <c r="AA76" s="151"/>
      <c r="AB76" s="4"/>
      <c r="AC76" s="4"/>
      <c r="AD76" s="4"/>
    </row>
    <row r="77">
      <c r="A77" s="152"/>
      <c r="B77" s="71"/>
      <c r="C77" s="145" t="s">
        <v>170</v>
      </c>
      <c r="D77" s="146" t="s">
        <v>169</v>
      </c>
      <c r="E77" s="147" t="s">
        <v>171</v>
      </c>
      <c r="F77" s="191"/>
      <c r="G77" s="151"/>
      <c r="H77" s="151"/>
      <c r="I77" s="151"/>
      <c r="J77" s="151"/>
      <c r="K77" s="151"/>
      <c r="L77" s="151"/>
      <c r="M77" s="151"/>
      <c r="N77" s="151"/>
      <c r="O77" s="151"/>
      <c r="P77" s="151"/>
      <c r="Q77" s="151"/>
      <c r="R77" s="151"/>
      <c r="S77" s="151"/>
      <c r="T77" s="151"/>
      <c r="U77" s="151"/>
      <c r="V77" s="151"/>
      <c r="W77" s="151"/>
      <c r="X77" s="151"/>
      <c r="Y77" s="151"/>
      <c r="Z77" s="151"/>
      <c r="AA77" s="151"/>
      <c r="AB77" s="4"/>
      <c r="AC77" s="4"/>
      <c r="AD77" s="4"/>
    </row>
    <row r="78">
      <c r="A78" s="152"/>
      <c r="B78" s="71"/>
      <c r="C78" s="145" t="s">
        <v>172</v>
      </c>
      <c r="D78" s="146" t="s">
        <v>169</v>
      </c>
      <c r="E78" s="157">
        <v>0.06</v>
      </c>
      <c r="F78" s="146"/>
      <c r="G78" s="151"/>
      <c r="H78" s="151"/>
      <c r="I78" s="151"/>
      <c r="J78" s="151"/>
      <c r="K78" s="151"/>
      <c r="L78" s="151"/>
      <c r="M78" s="151"/>
      <c r="N78" s="151"/>
      <c r="O78" s="151"/>
      <c r="P78" s="151"/>
      <c r="Q78" s="151"/>
      <c r="R78" s="151"/>
      <c r="S78" s="151"/>
      <c r="T78" s="151"/>
      <c r="U78" s="151"/>
      <c r="V78" s="151"/>
      <c r="W78" s="151"/>
      <c r="X78" s="151"/>
      <c r="Y78" s="151"/>
      <c r="Z78" s="151"/>
      <c r="AA78" s="151"/>
      <c r="AB78" s="4"/>
      <c r="AC78" s="4"/>
      <c r="AD78" s="4"/>
    </row>
    <row r="79">
      <c r="A79" s="152"/>
      <c r="B79" s="71"/>
      <c r="C79" s="191" t="s">
        <v>217</v>
      </c>
      <c r="D79" s="147" t="s">
        <v>156</v>
      </c>
      <c r="E79" s="160" t="s">
        <v>174</v>
      </c>
      <c r="F79" s="146"/>
      <c r="G79" s="151"/>
      <c r="H79" s="151"/>
      <c r="I79" s="151"/>
      <c r="J79" s="151"/>
      <c r="K79" s="151"/>
      <c r="L79" s="151"/>
      <c r="M79" s="151"/>
      <c r="N79" s="151"/>
      <c r="O79" s="151"/>
      <c r="P79" s="151"/>
      <c r="Q79" s="151"/>
      <c r="R79" s="151"/>
      <c r="S79" s="151"/>
      <c r="T79" s="151"/>
      <c r="U79" s="151"/>
      <c r="V79" s="151"/>
      <c r="W79" s="151"/>
      <c r="X79" s="151"/>
      <c r="Y79" s="151"/>
      <c r="Z79" s="151"/>
      <c r="AA79" s="151"/>
      <c r="AB79" s="4"/>
      <c r="AC79" s="4"/>
      <c r="AD79" s="4"/>
    </row>
    <row r="80">
      <c r="A80" s="152"/>
      <c r="B80" s="71"/>
      <c r="C80" s="191" t="s">
        <v>175</v>
      </c>
      <c r="D80" s="146" t="s">
        <v>176</v>
      </c>
      <c r="E80" s="147" t="s">
        <v>177</v>
      </c>
      <c r="F80" s="191"/>
      <c r="G80" s="151"/>
      <c r="H80" s="151"/>
      <c r="I80" s="151"/>
      <c r="J80" s="151"/>
      <c r="K80" s="151"/>
      <c r="L80" s="151"/>
      <c r="M80" s="151"/>
      <c r="N80" s="151"/>
      <c r="O80" s="151"/>
      <c r="P80" s="151"/>
      <c r="Q80" s="151"/>
      <c r="R80" s="151"/>
      <c r="S80" s="151"/>
      <c r="T80" s="151"/>
      <c r="U80" s="151"/>
      <c r="V80" s="151"/>
      <c r="W80" s="151"/>
      <c r="X80" s="151"/>
      <c r="Y80" s="151"/>
      <c r="Z80" s="151"/>
      <c r="AA80" s="151"/>
      <c r="AB80" s="4"/>
      <c r="AC80" s="4"/>
      <c r="AD80" s="4"/>
    </row>
    <row r="81">
      <c r="A81" s="105"/>
      <c r="B81" s="74"/>
      <c r="C81" s="196" t="s">
        <v>178</v>
      </c>
      <c r="D81" s="162" t="s">
        <v>176</v>
      </c>
      <c r="E81" s="163" t="s">
        <v>177</v>
      </c>
      <c r="F81" s="183"/>
      <c r="G81" s="164"/>
      <c r="H81" s="164"/>
      <c r="I81" s="164"/>
      <c r="J81" s="164"/>
      <c r="K81" s="164"/>
      <c r="L81" s="164"/>
      <c r="M81" s="164"/>
      <c r="N81" s="164"/>
      <c r="O81" s="164"/>
      <c r="P81" s="164"/>
      <c r="Q81" s="164"/>
      <c r="R81" s="164"/>
      <c r="S81" s="164"/>
      <c r="T81" s="164"/>
      <c r="U81" s="164"/>
      <c r="V81" s="164"/>
      <c r="W81" s="164"/>
      <c r="X81" s="164"/>
      <c r="Y81" s="164"/>
      <c r="Z81" s="164"/>
      <c r="AA81" s="164"/>
      <c r="AB81" s="4"/>
      <c r="AC81" s="4"/>
      <c r="AD81" s="4"/>
    </row>
    <row r="82">
      <c r="A82" s="185" t="s">
        <v>140</v>
      </c>
      <c r="B82" s="189" t="s">
        <v>209</v>
      </c>
      <c r="C82" s="179" t="s">
        <v>215</v>
      </c>
      <c r="D82" s="169" t="s">
        <v>164</v>
      </c>
      <c r="E82" s="160" t="s">
        <v>185</v>
      </c>
      <c r="F82" s="179"/>
      <c r="G82" s="170"/>
      <c r="H82" s="170"/>
      <c r="I82" s="170"/>
      <c r="J82" s="170"/>
      <c r="K82" s="170"/>
      <c r="L82" s="170"/>
      <c r="M82" s="170"/>
      <c r="N82" s="170"/>
      <c r="O82" s="170"/>
      <c r="P82" s="170"/>
      <c r="Q82" s="170"/>
      <c r="R82" s="170"/>
      <c r="S82" s="170"/>
      <c r="T82" s="170"/>
      <c r="U82" s="170"/>
      <c r="V82" s="170"/>
      <c r="W82" s="170"/>
      <c r="X82" s="170"/>
      <c r="Y82" s="170"/>
      <c r="Z82" s="170"/>
      <c r="AA82" s="170"/>
      <c r="AB82" s="4"/>
      <c r="AC82" s="4"/>
      <c r="AD82" s="4"/>
    </row>
    <row r="83">
      <c r="A83" s="152"/>
      <c r="B83" s="71"/>
      <c r="C83" s="182" t="s">
        <v>210</v>
      </c>
      <c r="D83" s="146" t="s">
        <v>164</v>
      </c>
      <c r="E83" s="167" t="s">
        <v>211</v>
      </c>
      <c r="F83" s="179"/>
      <c r="G83" s="170"/>
      <c r="H83" s="170"/>
      <c r="I83" s="170"/>
      <c r="J83" s="170"/>
      <c r="K83" s="170"/>
      <c r="L83" s="170"/>
      <c r="M83" s="170"/>
      <c r="N83" s="170"/>
      <c r="O83" s="170"/>
      <c r="P83" s="153">
        <v>4.32</v>
      </c>
      <c r="Q83" s="153">
        <v>3.78</v>
      </c>
      <c r="R83" s="203">
        <v>3.7</v>
      </c>
      <c r="S83" s="151"/>
      <c r="T83" s="151"/>
      <c r="U83" s="151"/>
      <c r="V83" s="151"/>
      <c r="W83" s="151"/>
      <c r="X83" s="151"/>
      <c r="Y83" s="151"/>
      <c r="Z83" s="151"/>
      <c r="AA83" s="151"/>
      <c r="AB83" s="4"/>
      <c r="AC83" s="4"/>
      <c r="AD83" s="4"/>
    </row>
    <row r="84">
      <c r="A84" s="152"/>
      <c r="B84" s="71"/>
      <c r="C84" s="191" t="s">
        <v>212</v>
      </c>
      <c r="D84" s="146" t="s">
        <v>164</v>
      </c>
      <c r="E84" s="145" t="s">
        <v>213</v>
      </c>
      <c r="F84" s="179"/>
      <c r="G84" s="170"/>
      <c r="H84" s="170"/>
      <c r="I84" s="170"/>
      <c r="J84" s="170"/>
      <c r="K84" s="170"/>
      <c r="L84" s="170"/>
      <c r="M84" s="170"/>
      <c r="N84" s="170"/>
      <c r="O84" s="170"/>
      <c r="P84" s="190">
        <v>0.9151</v>
      </c>
      <c r="Q84" s="190">
        <v>0.8917</v>
      </c>
      <c r="R84" s="190">
        <v>0.9032</v>
      </c>
      <c r="S84" s="151"/>
      <c r="T84" s="151"/>
      <c r="U84" s="151"/>
      <c r="V84" s="151"/>
      <c r="W84" s="151"/>
      <c r="X84" s="151"/>
      <c r="Y84" s="151"/>
      <c r="Z84" s="151"/>
      <c r="AA84" s="151"/>
      <c r="AB84" s="4"/>
      <c r="AC84" s="4"/>
      <c r="AD84" s="4"/>
    </row>
    <row r="85">
      <c r="A85" s="152"/>
      <c r="B85" s="71"/>
      <c r="C85" s="154" t="s">
        <v>168</v>
      </c>
      <c r="D85" s="146" t="s">
        <v>169</v>
      </c>
      <c r="E85" s="204">
        <v>5.5</v>
      </c>
      <c r="F85" s="179"/>
      <c r="G85" s="170"/>
      <c r="H85" s="170"/>
      <c r="I85" s="170"/>
      <c r="J85" s="170"/>
      <c r="K85" s="170"/>
      <c r="L85" s="170"/>
      <c r="M85" s="170"/>
      <c r="N85" s="170"/>
      <c r="O85" s="170"/>
      <c r="P85" s="151"/>
      <c r="Q85" s="151"/>
      <c r="R85" s="151"/>
      <c r="S85" s="151"/>
      <c r="T85" s="151"/>
      <c r="U85" s="151"/>
      <c r="V85" s="151"/>
      <c r="W85" s="151"/>
      <c r="X85" s="151"/>
      <c r="Y85" s="151"/>
      <c r="Z85" s="151"/>
      <c r="AA85" s="151"/>
      <c r="AB85" s="4"/>
      <c r="AC85" s="4"/>
      <c r="AD85" s="4"/>
    </row>
    <row r="86">
      <c r="A86" s="152"/>
      <c r="B86" s="71"/>
      <c r="C86" s="191" t="s">
        <v>199</v>
      </c>
      <c r="D86" s="147" t="s">
        <v>169</v>
      </c>
      <c r="E86" s="147" t="s">
        <v>200</v>
      </c>
      <c r="F86" s="179"/>
      <c r="G86" s="170"/>
      <c r="H86" s="170"/>
      <c r="I86" s="170"/>
      <c r="J86" s="170"/>
      <c r="K86" s="170"/>
      <c r="L86" s="170"/>
      <c r="M86" s="170"/>
      <c r="N86" s="170"/>
      <c r="O86" s="170"/>
      <c r="P86" s="151"/>
      <c r="Q86" s="151"/>
      <c r="R86" s="151"/>
      <c r="S86" s="151"/>
      <c r="T86" s="151"/>
      <c r="U86" s="151"/>
      <c r="V86" s="151"/>
      <c r="W86" s="151"/>
      <c r="X86" s="151"/>
      <c r="Y86" s="151"/>
      <c r="Z86" s="151"/>
      <c r="AA86" s="151"/>
      <c r="AB86" s="4"/>
      <c r="AC86" s="4"/>
      <c r="AD86" s="4"/>
    </row>
    <row r="87">
      <c r="A87" s="152"/>
      <c r="B87" s="71"/>
      <c r="C87" s="145" t="s">
        <v>170</v>
      </c>
      <c r="D87" s="146" t="s">
        <v>169</v>
      </c>
      <c r="E87" s="147" t="s">
        <v>171</v>
      </c>
      <c r="F87" s="179"/>
      <c r="G87" s="170"/>
      <c r="H87" s="170"/>
      <c r="I87" s="170"/>
      <c r="J87" s="170"/>
      <c r="K87" s="170"/>
      <c r="L87" s="170"/>
      <c r="M87" s="170"/>
      <c r="N87" s="170"/>
      <c r="O87" s="170"/>
      <c r="P87" s="151"/>
      <c r="Q87" s="151"/>
      <c r="R87" s="151"/>
      <c r="S87" s="151"/>
      <c r="T87" s="151"/>
      <c r="U87" s="151"/>
      <c r="V87" s="151"/>
      <c r="W87" s="151"/>
      <c r="X87" s="151"/>
      <c r="Y87" s="151"/>
      <c r="Z87" s="151"/>
      <c r="AA87" s="151"/>
      <c r="AB87" s="4"/>
      <c r="AC87" s="4"/>
      <c r="AD87" s="4"/>
    </row>
    <row r="88">
      <c r="A88" s="152"/>
      <c r="B88" s="71"/>
      <c r="C88" s="145" t="s">
        <v>172</v>
      </c>
      <c r="D88" s="146" t="s">
        <v>169</v>
      </c>
      <c r="E88" s="157">
        <v>0.06</v>
      </c>
      <c r="F88" s="167"/>
      <c r="G88" s="167"/>
      <c r="H88" s="167"/>
      <c r="I88" s="167"/>
      <c r="J88" s="151"/>
      <c r="K88" s="151"/>
      <c r="L88" s="151"/>
      <c r="M88" s="151"/>
      <c r="N88" s="151"/>
      <c r="O88" s="151"/>
      <c r="P88" s="151"/>
      <c r="Q88" s="151"/>
      <c r="R88" s="151"/>
      <c r="S88" s="151"/>
      <c r="T88" s="151"/>
      <c r="U88" s="151"/>
      <c r="V88" s="151"/>
      <c r="W88" s="151"/>
      <c r="X88" s="151"/>
      <c r="Y88" s="151"/>
      <c r="Z88" s="151"/>
      <c r="AA88" s="151"/>
      <c r="AB88" s="4"/>
      <c r="AC88" s="4"/>
      <c r="AD88" s="4"/>
    </row>
    <row r="89">
      <c r="A89" s="152"/>
      <c r="B89" s="71"/>
      <c r="C89" s="182" t="s">
        <v>188</v>
      </c>
      <c r="D89" s="147" t="s">
        <v>156</v>
      </c>
      <c r="E89" s="147" t="s">
        <v>201</v>
      </c>
      <c r="F89" s="145"/>
      <c r="G89" s="145"/>
      <c r="H89" s="145"/>
      <c r="I89" s="145"/>
      <c r="J89" s="151"/>
      <c r="K89" s="151"/>
      <c r="L89" s="151"/>
      <c r="M89" s="151"/>
      <c r="N89" s="151"/>
      <c r="O89" s="151"/>
      <c r="P89" s="151"/>
      <c r="Q89" s="151"/>
      <c r="R89" s="151"/>
      <c r="S89" s="151"/>
      <c r="T89" s="151"/>
      <c r="U89" s="151"/>
      <c r="V89" s="151"/>
      <c r="W89" s="151"/>
      <c r="X89" s="151"/>
      <c r="Y89" s="151"/>
      <c r="Z89" s="151"/>
      <c r="AA89" s="151"/>
      <c r="AB89" s="4"/>
      <c r="AC89" s="4"/>
      <c r="AD89" s="4"/>
    </row>
    <row r="90">
      <c r="A90" s="152"/>
      <c r="B90" s="71"/>
      <c r="C90" s="191" t="s">
        <v>218</v>
      </c>
      <c r="D90" s="146" t="s">
        <v>156</v>
      </c>
      <c r="E90" s="182" t="s">
        <v>219</v>
      </c>
      <c r="F90" s="191"/>
      <c r="G90" s="151"/>
      <c r="H90" s="151"/>
      <c r="I90" s="151"/>
      <c r="J90" s="151"/>
      <c r="K90" s="151"/>
      <c r="L90" s="151"/>
      <c r="M90" s="151"/>
      <c r="N90" s="151"/>
      <c r="O90" s="151"/>
      <c r="P90" s="151"/>
      <c r="Q90" s="151"/>
      <c r="R90" s="151"/>
      <c r="S90" s="151"/>
      <c r="T90" s="151"/>
      <c r="U90" s="151"/>
      <c r="V90" s="151"/>
      <c r="W90" s="151"/>
      <c r="X90" s="151"/>
      <c r="Y90" s="151"/>
      <c r="Z90" s="151"/>
      <c r="AA90" s="151"/>
      <c r="AB90" s="4"/>
      <c r="AC90" s="4"/>
      <c r="AD90" s="4"/>
    </row>
    <row r="91">
      <c r="A91" s="152"/>
      <c r="B91" s="71"/>
      <c r="C91" s="205" t="s">
        <v>220</v>
      </c>
      <c r="D91" s="206" t="s">
        <v>156</v>
      </c>
      <c r="E91" s="147" t="s">
        <v>177</v>
      </c>
      <c r="F91" s="147"/>
      <c r="G91" s="151"/>
      <c r="H91" s="151"/>
      <c r="I91" s="151"/>
      <c r="J91" s="151"/>
      <c r="K91" s="151"/>
      <c r="L91" s="151"/>
      <c r="M91" s="151"/>
      <c r="N91" s="151"/>
      <c r="O91" s="151"/>
      <c r="P91" s="151"/>
      <c r="Q91" s="151"/>
      <c r="R91" s="151"/>
      <c r="S91" s="151"/>
      <c r="T91" s="151"/>
      <c r="U91" s="151"/>
      <c r="V91" s="151"/>
      <c r="W91" s="151"/>
      <c r="X91" s="151"/>
      <c r="Y91" s="151"/>
      <c r="Z91" s="151"/>
      <c r="AA91" s="151"/>
      <c r="AB91" s="4"/>
      <c r="AC91" s="4"/>
      <c r="AD91" s="4"/>
    </row>
    <row r="92">
      <c r="A92" s="152"/>
      <c r="B92" s="71"/>
      <c r="C92" s="205" t="s">
        <v>221</v>
      </c>
      <c r="D92" s="206" t="s">
        <v>156</v>
      </c>
      <c r="E92" s="147" t="s">
        <v>177</v>
      </c>
      <c r="F92" s="147"/>
      <c r="G92" s="151"/>
      <c r="H92" s="151"/>
      <c r="I92" s="151"/>
      <c r="J92" s="151"/>
      <c r="K92" s="151"/>
      <c r="L92" s="151"/>
      <c r="M92" s="151"/>
      <c r="N92" s="151"/>
      <c r="O92" s="151"/>
      <c r="P92" s="151"/>
      <c r="Q92" s="151"/>
      <c r="R92" s="151"/>
      <c r="S92" s="151"/>
      <c r="T92" s="151"/>
      <c r="U92" s="151"/>
      <c r="V92" s="151"/>
      <c r="W92" s="151"/>
      <c r="X92" s="151"/>
      <c r="Y92" s="151"/>
      <c r="Z92" s="151"/>
      <c r="AA92" s="151"/>
      <c r="AB92" s="4"/>
      <c r="AC92" s="4"/>
      <c r="AD92" s="4"/>
    </row>
    <row r="93">
      <c r="A93" s="152"/>
      <c r="B93" s="71"/>
      <c r="C93" s="159" t="s">
        <v>173</v>
      </c>
      <c r="D93" s="159" t="s">
        <v>156</v>
      </c>
      <c r="E93" s="187" t="s">
        <v>174</v>
      </c>
      <c r="F93" s="147"/>
      <c r="G93" s="151"/>
      <c r="H93" s="151"/>
      <c r="I93" s="151"/>
      <c r="J93" s="151"/>
      <c r="K93" s="151"/>
      <c r="L93" s="151"/>
      <c r="M93" s="151"/>
      <c r="N93" s="207"/>
      <c r="O93" s="207"/>
      <c r="P93" s="151"/>
      <c r="Q93" s="151"/>
      <c r="R93" s="151"/>
      <c r="S93" s="151"/>
      <c r="T93" s="151"/>
      <c r="U93" s="151"/>
      <c r="V93" s="151"/>
      <c r="W93" s="151"/>
      <c r="X93" s="151"/>
      <c r="Y93" s="151"/>
      <c r="Z93" s="151"/>
      <c r="AA93" s="151"/>
      <c r="AB93" s="4"/>
      <c r="AC93" s="4"/>
      <c r="AD93" s="4"/>
    </row>
    <row r="94">
      <c r="A94" s="152"/>
      <c r="B94" s="71"/>
      <c r="C94" s="205" t="s">
        <v>222</v>
      </c>
      <c r="D94" s="147" t="s">
        <v>176</v>
      </c>
      <c r="E94" s="147" t="s">
        <v>177</v>
      </c>
      <c r="F94" s="147"/>
      <c r="G94" s="151"/>
      <c r="H94" s="151"/>
      <c r="I94" s="151"/>
      <c r="J94" s="151"/>
      <c r="K94" s="151"/>
      <c r="L94" s="151"/>
      <c r="M94" s="151"/>
      <c r="N94" s="208"/>
      <c r="O94" s="208"/>
      <c r="P94" s="151"/>
      <c r="Q94" s="151"/>
      <c r="R94" s="151"/>
      <c r="S94" s="151"/>
      <c r="T94" s="151"/>
      <c r="U94" s="151"/>
      <c r="V94" s="151"/>
      <c r="W94" s="151"/>
      <c r="X94" s="151"/>
      <c r="Y94" s="151"/>
      <c r="Z94" s="151"/>
      <c r="AA94" s="151"/>
      <c r="AB94" s="4"/>
      <c r="AC94" s="4"/>
      <c r="AD94" s="4"/>
    </row>
    <row r="95">
      <c r="A95" s="152"/>
      <c r="B95" s="71"/>
      <c r="C95" s="209" t="s">
        <v>175</v>
      </c>
      <c r="D95" s="146" t="s">
        <v>176</v>
      </c>
      <c r="E95" s="147" t="s">
        <v>177</v>
      </c>
      <c r="F95" s="147"/>
      <c r="G95" s="151"/>
      <c r="H95" s="151"/>
      <c r="I95" s="151"/>
      <c r="J95" s="151"/>
      <c r="K95" s="151"/>
      <c r="L95" s="151"/>
      <c r="M95" s="151"/>
      <c r="N95" s="207"/>
      <c r="O95" s="207"/>
      <c r="P95" s="151"/>
      <c r="Q95" s="151"/>
      <c r="R95" s="151"/>
      <c r="S95" s="151"/>
      <c r="T95" s="151"/>
      <c r="U95" s="151"/>
      <c r="V95" s="151"/>
      <c r="W95" s="151"/>
      <c r="X95" s="151"/>
      <c r="Y95" s="151"/>
      <c r="Z95" s="151"/>
      <c r="AA95" s="151"/>
      <c r="AB95" s="4"/>
      <c r="AC95" s="4"/>
      <c r="AD95" s="4"/>
    </row>
    <row r="96">
      <c r="A96" s="105"/>
      <c r="B96" s="74"/>
      <c r="C96" s="196" t="s">
        <v>178</v>
      </c>
      <c r="D96" s="162" t="s">
        <v>176</v>
      </c>
      <c r="E96" s="163" t="s">
        <v>177</v>
      </c>
      <c r="F96" s="183"/>
      <c r="G96" s="164"/>
      <c r="H96" s="164"/>
      <c r="I96" s="164"/>
      <c r="J96" s="164"/>
      <c r="K96" s="164"/>
      <c r="L96" s="164"/>
      <c r="M96" s="164"/>
      <c r="N96" s="207"/>
      <c r="O96" s="207"/>
      <c r="P96" s="164"/>
      <c r="Q96" s="164"/>
      <c r="R96" s="164"/>
      <c r="S96" s="164"/>
      <c r="T96" s="164"/>
      <c r="U96" s="164"/>
      <c r="V96" s="164"/>
      <c r="W96" s="164"/>
      <c r="X96" s="164"/>
      <c r="Y96" s="164"/>
      <c r="Z96" s="164"/>
      <c r="AA96" s="164"/>
      <c r="AB96" s="4"/>
      <c r="AC96" s="4"/>
      <c r="AD96" s="4"/>
    </row>
    <row r="97">
      <c r="A97" s="185" t="s">
        <v>141</v>
      </c>
      <c r="B97" s="189" t="s">
        <v>209</v>
      </c>
      <c r="C97" s="179" t="s">
        <v>215</v>
      </c>
      <c r="D97" s="169" t="s">
        <v>164</v>
      </c>
      <c r="E97" s="160" t="s">
        <v>185</v>
      </c>
      <c r="F97" s="167"/>
      <c r="G97" s="167"/>
      <c r="H97" s="167"/>
      <c r="I97" s="167"/>
      <c r="J97" s="170"/>
      <c r="K97" s="170"/>
      <c r="L97" s="170"/>
      <c r="M97" s="170"/>
      <c r="N97" s="170"/>
      <c r="O97" s="170"/>
      <c r="P97" s="170"/>
      <c r="Q97" s="170"/>
      <c r="R97" s="170"/>
      <c r="S97" s="170"/>
      <c r="T97" s="170"/>
      <c r="U97" s="170"/>
      <c r="V97" s="170"/>
      <c r="W97" s="170"/>
      <c r="X97" s="170"/>
      <c r="Y97" s="170"/>
      <c r="Z97" s="170"/>
      <c r="AA97" s="170"/>
      <c r="AB97" s="4"/>
      <c r="AC97" s="4"/>
      <c r="AD97" s="4"/>
    </row>
    <row r="98">
      <c r="A98" s="152"/>
      <c r="B98" s="71"/>
      <c r="C98" s="191" t="s">
        <v>197</v>
      </c>
      <c r="D98" s="147" t="s">
        <v>164</v>
      </c>
      <c r="E98" s="145" t="s">
        <v>223</v>
      </c>
      <c r="F98" s="167"/>
      <c r="G98" s="167"/>
      <c r="H98" s="167"/>
      <c r="I98" s="167"/>
      <c r="J98" s="170"/>
      <c r="K98" s="170"/>
      <c r="L98" s="170"/>
      <c r="M98" s="170"/>
      <c r="N98" s="170"/>
      <c r="O98" s="170"/>
      <c r="P98" s="153">
        <v>2.93</v>
      </c>
      <c r="Q98" s="153">
        <v>3.35</v>
      </c>
      <c r="R98" s="153">
        <v>2.68</v>
      </c>
      <c r="S98" s="151"/>
      <c r="T98" s="151"/>
      <c r="U98" s="151"/>
      <c r="V98" s="151"/>
      <c r="W98" s="151"/>
      <c r="X98" s="151"/>
      <c r="Y98" s="151"/>
      <c r="Z98" s="151"/>
      <c r="AA98" s="151"/>
      <c r="AB98" s="4"/>
      <c r="AC98" s="4"/>
      <c r="AD98" s="4"/>
    </row>
    <row r="99">
      <c r="A99" s="152"/>
      <c r="B99" s="71"/>
      <c r="C99" s="179" t="s">
        <v>163</v>
      </c>
      <c r="D99" s="178" t="s">
        <v>164</v>
      </c>
      <c r="E99" s="167" t="s">
        <v>165</v>
      </c>
      <c r="F99" s="167"/>
      <c r="G99" s="167"/>
      <c r="H99" s="167"/>
      <c r="I99" s="167"/>
      <c r="J99" s="170"/>
      <c r="K99" s="170"/>
      <c r="L99" s="170"/>
      <c r="M99" s="170"/>
      <c r="N99" s="170"/>
      <c r="O99" s="170"/>
      <c r="P99" s="190">
        <v>0.7656</v>
      </c>
      <c r="Q99" s="190">
        <v>0.8048</v>
      </c>
      <c r="R99" s="190">
        <v>0.7989</v>
      </c>
      <c r="S99" s="151"/>
      <c r="T99" s="151"/>
      <c r="U99" s="151"/>
      <c r="V99" s="151"/>
      <c r="W99" s="151"/>
      <c r="X99" s="151"/>
      <c r="Y99" s="151"/>
      <c r="Z99" s="151"/>
      <c r="AA99" s="151"/>
      <c r="AB99" s="4"/>
      <c r="AC99" s="4"/>
      <c r="AD99" s="4"/>
    </row>
    <row r="100">
      <c r="A100" s="152"/>
      <c r="B100" s="71"/>
      <c r="C100" s="154" t="s">
        <v>168</v>
      </c>
      <c r="D100" s="146" t="s">
        <v>169</v>
      </c>
      <c r="E100" s="204">
        <v>5.5</v>
      </c>
      <c r="F100" s="167"/>
      <c r="G100" s="167"/>
      <c r="H100" s="167"/>
      <c r="I100" s="167"/>
      <c r="J100" s="170"/>
      <c r="K100" s="170"/>
      <c r="L100" s="170"/>
      <c r="M100" s="170"/>
      <c r="N100" s="170"/>
      <c r="O100" s="170"/>
      <c r="P100" s="151"/>
      <c r="Q100" s="151"/>
      <c r="R100" s="151"/>
      <c r="S100" s="151"/>
      <c r="T100" s="151"/>
      <c r="U100" s="151"/>
      <c r="V100" s="151"/>
      <c r="W100" s="151"/>
      <c r="X100" s="151"/>
      <c r="Y100" s="151"/>
      <c r="Z100" s="151"/>
      <c r="AA100" s="151"/>
      <c r="AB100" s="4"/>
      <c r="AC100" s="4"/>
      <c r="AD100" s="4"/>
    </row>
    <row r="101">
      <c r="A101" s="152"/>
      <c r="B101" s="71"/>
      <c r="C101" s="191" t="s">
        <v>199</v>
      </c>
      <c r="D101" s="147" t="s">
        <v>169</v>
      </c>
      <c r="E101" s="147" t="s">
        <v>200</v>
      </c>
      <c r="F101" s="167"/>
      <c r="G101" s="167"/>
      <c r="H101" s="167"/>
      <c r="I101" s="167"/>
      <c r="J101" s="170"/>
      <c r="K101" s="170"/>
      <c r="L101" s="170"/>
      <c r="M101" s="170"/>
      <c r="N101" s="170"/>
      <c r="O101" s="170"/>
      <c r="P101" s="151"/>
      <c r="Q101" s="151"/>
      <c r="R101" s="151"/>
      <c r="S101" s="151"/>
      <c r="T101" s="151"/>
      <c r="U101" s="151"/>
      <c r="V101" s="151"/>
      <c r="W101" s="151"/>
      <c r="X101" s="151"/>
      <c r="Y101" s="151"/>
      <c r="Z101" s="151"/>
      <c r="AA101" s="151"/>
      <c r="AB101" s="4"/>
      <c r="AC101" s="4"/>
      <c r="AD101" s="4"/>
    </row>
    <row r="102">
      <c r="A102" s="152"/>
      <c r="B102" s="71"/>
      <c r="C102" s="145" t="s">
        <v>170</v>
      </c>
      <c r="D102" s="146" t="s">
        <v>169</v>
      </c>
      <c r="E102" s="147" t="s">
        <v>171</v>
      </c>
      <c r="F102" s="167"/>
      <c r="G102" s="167"/>
      <c r="H102" s="167"/>
      <c r="I102" s="167"/>
      <c r="J102" s="170"/>
      <c r="K102" s="170"/>
      <c r="L102" s="170"/>
      <c r="M102" s="170"/>
      <c r="N102" s="170"/>
      <c r="O102" s="170"/>
      <c r="P102" s="151"/>
      <c r="Q102" s="151"/>
      <c r="R102" s="151"/>
      <c r="S102" s="151"/>
      <c r="T102" s="151"/>
      <c r="U102" s="151"/>
      <c r="V102" s="151"/>
      <c r="W102" s="151"/>
      <c r="X102" s="151"/>
      <c r="Y102" s="151"/>
      <c r="Z102" s="151"/>
      <c r="AA102" s="151"/>
      <c r="AB102" s="4"/>
      <c r="AC102" s="4"/>
      <c r="AD102" s="4"/>
    </row>
    <row r="103">
      <c r="A103" s="152"/>
      <c r="B103" s="71"/>
      <c r="C103" s="145" t="s">
        <v>172</v>
      </c>
      <c r="D103" s="146" t="s">
        <v>169</v>
      </c>
      <c r="E103" s="157">
        <v>0.06</v>
      </c>
      <c r="F103" s="167"/>
      <c r="G103" s="167"/>
      <c r="H103" s="167"/>
      <c r="I103" s="167"/>
      <c r="J103" s="170"/>
      <c r="K103" s="170"/>
      <c r="L103" s="170"/>
      <c r="M103" s="170"/>
      <c r="N103" s="170"/>
      <c r="O103" s="170"/>
      <c r="P103" s="151"/>
      <c r="Q103" s="151"/>
      <c r="R103" s="151"/>
      <c r="S103" s="151"/>
      <c r="T103" s="151"/>
      <c r="U103" s="151"/>
      <c r="V103" s="151"/>
      <c r="W103" s="151"/>
      <c r="X103" s="151"/>
      <c r="Y103" s="151"/>
      <c r="Z103" s="151"/>
      <c r="AA103" s="151"/>
      <c r="AB103" s="4"/>
      <c r="AC103" s="4"/>
      <c r="AD103" s="4"/>
    </row>
    <row r="104">
      <c r="A104" s="152"/>
      <c r="B104" s="71"/>
      <c r="C104" s="182" t="s">
        <v>188</v>
      </c>
      <c r="D104" s="147" t="s">
        <v>156</v>
      </c>
      <c r="E104" s="147" t="s">
        <v>201</v>
      </c>
      <c r="F104" s="167"/>
      <c r="G104" s="167"/>
      <c r="H104" s="167"/>
      <c r="I104" s="167"/>
      <c r="J104" s="170"/>
      <c r="K104" s="170"/>
      <c r="L104" s="170"/>
      <c r="M104" s="170"/>
      <c r="N104" s="170"/>
      <c r="O104" s="170"/>
      <c r="P104" s="151"/>
      <c r="Q104" s="151"/>
      <c r="R104" s="151"/>
      <c r="S104" s="151"/>
      <c r="T104" s="151"/>
      <c r="U104" s="151"/>
      <c r="V104" s="151"/>
      <c r="W104" s="151"/>
      <c r="X104" s="151"/>
      <c r="Y104" s="151"/>
      <c r="Z104" s="151"/>
      <c r="AA104" s="151"/>
      <c r="AB104" s="4"/>
      <c r="AC104" s="4"/>
      <c r="AD104" s="4"/>
    </row>
    <row r="105">
      <c r="A105" s="152"/>
      <c r="B105" s="71"/>
      <c r="C105" s="191" t="s">
        <v>224</v>
      </c>
      <c r="D105" s="146" t="s">
        <v>156</v>
      </c>
      <c r="E105" s="146" t="s">
        <v>174</v>
      </c>
      <c r="F105" s="146"/>
      <c r="G105" s="146"/>
      <c r="H105" s="146"/>
      <c r="I105" s="146"/>
      <c r="J105" s="151"/>
      <c r="K105" s="151"/>
      <c r="L105" s="151"/>
      <c r="M105" s="151"/>
      <c r="N105" s="151"/>
      <c r="O105" s="151"/>
      <c r="P105" s="151"/>
      <c r="Q105" s="151"/>
      <c r="R105" s="151"/>
      <c r="S105" s="151"/>
      <c r="T105" s="151"/>
      <c r="U105" s="151"/>
      <c r="V105" s="151"/>
      <c r="W105" s="151"/>
      <c r="X105" s="151"/>
      <c r="Y105" s="151"/>
      <c r="Z105" s="151"/>
      <c r="AA105" s="151"/>
      <c r="AB105" s="4"/>
      <c r="AC105" s="4"/>
      <c r="AD105" s="4"/>
    </row>
    <row r="106">
      <c r="A106" s="152"/>
      <c r="B106" s="71"/>
      <c r="C106" s="209" t="s">
        <v>175</v>
      </c>
      <c r="D106" s="146" t="s">
        <v>176</v>
      </c>
      <c r="E106" s="147" t="s">
        <v>177</v>
      </c>
      <c r="F106" s="147"/>
      <c r="G106" s="151"/>
      <c r="H106" s="151"/>
      <c r="I106" s="151"/>
      <c r="J106" s="151"/>
      <c r="K106" s="151"/>
      <c r="L106" s="151"/>
      <c r="M106" s="151"/>
      <c r="N106" s="210"/>
      <c r="O106" s="210"/>
      <c r="P106" s="151"/>
      <c r="Q106" s="151"/>
      <c r="R106" s="151"/>
      <c r="S106" s="151"/>
      <c r="T106" s="151"/>
      <c r="U106" s="151"/>
      <c r="V106" s="151"/>
      <c r="W106" s="151"/>
      <c r="X106" s="151"/>
      <c r="Y106" s="151"/>
      <c r="Z106" s="151"/>
      <c r="AA106" s="151"/>
      <c r="AB106" s="4"/>
      <c r="AC106" s="4"/>
      <c r="AD106" s="4"/>
    </row>
    <row r="107">
      <c r="A107" s="105"/>
      <c r="B107" s="74"/>
      <c r="C107" s="196" t="s">
        <v>178</v>
      </c>
      <c r="D107" s="162" t="s">
        <v>176</v>
      </c>
      <c r="E107" s="163" t="s">
        <v>177</v>
      </c>
      <c r="F107" s="183"/>
      <c r="G107" s="164"/>
      <c r="H107" s="164"/>
      <c r="I107" s="164"/>
      <c r="J107" s="164"/>
      <c r="K107" s="164"/>
      <c r="L107" s="164"/>
      <c r="M107" s="164"/>
      <c r="N107" s="207"/>
      <c r="O107" s="207"/>
      <c r="P107" s="164"/>
      <c r="Q107" s="164"/>
      <c r="R107" s="164"/>
      <c r="S107" s="164"/>
      <c r="T107" s="164"/>
      <c r="U107" s="164"/>
      <c r="V107" s="164"/>
      <c r="W107" s="164"/>
      <c r="X107" s="164"/>
      <c r="Y107" s="164"/>
      <c r="Z107" s="164"/>
      <c r="AA107" s="164"/>
      <c r="AB107" s="4"/>
      <c r="AC107" s="4"/>
      <c r="AD107" s="4"/>
    </row>
    <row r="108">
      <c r="A108" s="197" t="s">
        <v>15</v>
      </c>
      <c r="B108" s="189" t="s">
        <v>225</v>
      </c>
      <c r="C108" s="211" t="s">
        <v>226</v>
      </c>
      <c r="D108" s="212" t="s">
        <v>164</v>
      </c>
      <c r="E108" s="213" t="s">
        <v>227</v>
      </c>
      <c r="F108" s="167"/>
      <c r="G108" s="167"/>
      <c r="H108" s="167"/>
      <c r="I108" s="167"/>
      <c r="J108" s="170"/>
      <c r="K108" s="170"/>
      <c r="L108" s="170"/>
      <c r="M108" s="170"/>
      <c r="N108" s="170"/>
      <c r="O108" s="170"/>
      <c r="P108" s="188">
        <v>8232.0</v>
      </c>
      <c r="Q108" s="188">
        <v>8124.0</v>
      </c>
      <c r="R108" s="188">
        <v>9932.0</v>
      </c>
      <c r="S108" s="170"/>
      <c r="T108" s="170"/>
      <c r="U108" s="170"/>
      <c r="V108" s="170"/>
      <c r="W108" s="170"/>
      <c r="X108" s="170"/>
      <c r="Y108" s="170"/>
      <c r="Z108" s="170"/>
      <c r="AA108" s="170"/>
      <c r="AB108" s="4"/>
      <c r="AC108" s="4"/>
      <c r="AD108" s="4"/>
    </row>
    <row r="109">
      <c r="A109" s="71"/>
      <c r="B109" s="71"/>
      <c r="C109" s="182" t="s">
        <v>228</v>
      </c>
      <c r="D109" s="147" t="s">
        <v>156</v>
      </c>
      <c r="E109" s="147" t="s">
        <v>177</v>
      </c>
      <c r="F109" s="167"/>
      <c r="G109" s="167"/>
      <c r="H109" s="167"/>
      <c r="I109" s="167"/>
      <c r="J109" s="170"/>
      <c r="K109" s="170"/>
      <c r="L109" s="170"/>
      <c r="M109" s="170"/>
      <c r="N109" s="170"/>
      <c r="O109" s="170"/>
      <c r="P109" s="151"/>
      <c r="Q109" s="151"/>
      <c r="R109" s="151"/>
      <c r="S109" s="151"/>
      <c r="T109" s="151"/>
      <c r="U109" s="151"/>
      <c r="V109" s="151"/>
      <c r="W109" s="151"/>
      <c r="X109" s="151"/>
      <c r="Y109" s="151"/>
      <c r="Z109" s="151"/>
      <c r="AA109" s="151"/>
      <c r="AB109" s="4"/>
      <c r="AC109" s="4"/>
      <c r="AD109" s="4"/>
    </row>
    <row r="110">
      <c r="A110" s="71"/>
      <c r="B110" s="71"/>
      <c r="C110" s="182" t="s">
        <v>192</v>
      </c>
      <c r="D110" s="146" t="s">
        <v>176</v>
      </c>
      <c r="E110" s="147" t="s">
        <v>177</v>
      </c>
      <c r="F110" s="146"/>
      <c r="G110" s="146"/>
      <c r="H110" s="146"/>
      <c r="I110" s="146"/>
      <c r="J110" s="151"/>
      <c r="K110" s="151"/>
      <c r="L110" s="151"/>
      <c r="M110" s="151"/>
      <c r="N110" s="151"/>
      <c r="O110" s="151"/>
      <c r="P110" s="151"/>
      <c r="Q110" s="151"/>
      <c r="R110" s="151"/>
      <c r="S110" s="151"/>
      <c r="T110" s="151"/>
      <c r="U110" s="151"/>
      <c r="V110" s="151"/>
      <c r="W110" s="151"/>
      <c r="X110" s="151"/>
      <c r="Y110" s="151"/>
      <c r="Z110" s="151"/>
      <c r="AA110" s="151"/>
      <c r="AB110" s="4"/>
      <c r="AC110" s="4"/>
      <c r="AD110" s="4"/>
    </row>
    <row r="111">
      <c r="A111" s="74"/>
      <c r="B111" s="74"/>
      <c r="C111" s="214" t="s">
        <v>229</v>
      </c>
      <c r="D111" s="162" t="s">
        <v>156</v>
      </c>
      <c r="E111" s="215" t="s">
        <v>165</v>
      </c>
      <c r="F111" s="172"/>
      <c r="G111" s="172"/>
      <c r="H111" s="172"/>
      <c r="I111" s="172"/>
      <c r="J111" s="176"/>
      <c r="K111" s="176"/>
      <c r="L111" s="176"/>
      <c r="M111" s="176"/>
      <c r="N111" s="176"/>
      <c r="O111" s="176"/>
      <c r="P111" s="164"/>
      <c r="Q111" s="164"/>
      <c r="R111" s="164"/>
      <c r="S111" s="164"/>
      <c r="T111" s="164"/>
      <c r="U111" s="164"/>
      <c r="V111" s="164"/>
      <c r="W111" s="164"/>
      <c r="X111" s="164"/>
      <c r="Y111" s="164"/>
      <c r="Z111" s="164"/>
      <c r="AA111" s="164"/>
      <c r="AB111" s="4"/>
      <c r="AC111" s="4"/>
      <c r="AD111" s="4"/>
    </row>
    <row r="112">
      <c r="A112" s="216" t="s">
        <v>60</v>
      </c>
      <c r="B112" s="186"/>
      <c r="C112" s="217" t="s">
        <v>230</v>
      </c>
      <c r="D112" s="178" t="s">
        <v>231</v>
      </c>
      <c r="E112" s="167" t="s">
        <v>232</v>
      </c>
      <c r="F112" s="167"/>
      <c r="G112" s="167"/>
      <c r="H112" s="167"/>
      <c r="I112" s="167"/>
      <c r="J112" s="170"/>
      <c r="K112" s="170"/>
      <c r="L112" s="170"/>
      <c r="M112" s="170"/>
      <c r="N112" s="170"/>
      <c r="O112" s="170"/>
      <c r="P112" s="170"/>
      <c r="Q112" s="170"/>
      <c r="R112" s="170"/>
      <c r="S112" s="170"/>
      <c r="T112" s="170"/>
      <c r="U112" s="170"/>
      <c r="V112" s="170"/>
      <c r="W112" s="170"/>
      <c r="X112" s="170"/>
      <c r="Y112" s="170"/>
      <c r="Z112" s="170"/>
      <c r="AA112" s="170"/>
      <c r="AB112" s="4"/>
      <c r="AC112" s="4"/>
      <c r="AD112" s="4"/>
    </row>
    <row r="113">
      <c r="A113" s="71"/>
      <c r="B113" s="71"/>
      <c r="C113" s="218" t="s">
        <v>233</v>
      </c>
      <c r="D113" s="146" t="s">
        <v>231</v>
      </c>
      <c r="E113" s="217" t="s">
        <v>234</v>
      </c>
      <c r="F113" s="145"/>
      <c r="G113" s="145"/>
      <c r="H113" s="145"/>
      <c r="I113" s="145"/>
      <c r="J113" s="151"/>
      <c r="K113" s="151"/>
      <c r="L113" s="151"/>
      <c r="M113" s="151"/>
      <c r="N113" s="151"/>
      <c r="O113" s="151"/>
      <c r="P113" s="151"/>
      <c r="Q113" s="151"/>
      <c r="R113" s="151"/>
      <c r="S113" s="151"/>
      <c r="T113" s="151"/>
      <c r="U113" s="151"/>
      <c r="V113" s="151"/>
      <c r="W113" s="151"/>
      <c r="X113" s="151"/>
      <c r="Y113" s="151"/>
      <c r="Z113" s="151"/>
      <c r="AA113" s="151"/>
      <c r="AB113" s="4"/>
      <c r="AC113" s="4"/>
      <c r="AD113" s="4"/>
    </row>
    <row r="114">
      <c r="A114" s="71"/>
      <c r="B114" s="71"/>
      <c r="C114" s="154" t="s">
        <v>235</v>
      </c>
      <c r="D114" s="147" t="s">
        <v>156</v>
      </c>
      <c r="E114" s="147" t="s">
        <v>177</v>
      </c>
      <c r="F114" s="145"/>
      <c r="G114" s="145"/>
      <c r="H114" s="145"/>
      <c r="I114" s="145"/>
      <c r="J114" s="151"/>
      <c r="K114" s="151"/>
      <c r="L114" s="151"/>
      <c r="M114" s="151"/>
      <c r="N114" s="151"/>
      <c r="O114" s="151"/>
      <c r="P114" s="151"/>
      <c r="Q114" s="151"/>
      <c r="R114" s="151"/>
      <c r="S114" s="151"/>
      <c r="T114" s="151"/>
      <c r="U114" s="151"/>
      <c r="V114" s="151"/>
      <c r="W114" s="151"/>
      <c r="X114" s="151"/>
      <c r="Y114" s="151"/>
      <c r="Z114" s="151"/>
      <c r="AA114" s="151"/>
      <c r="AB114" s="4"/>
      <c r="AC114" s="4"/>
      <c r="AD114" s="4"/>
    </row>
    <row r="115">
      <c r="A115" s="71"/>
      <c r="B115" s="71"/>
      <c r="C115" s="154" t="s">
        <v>236</v>
      </c>
      <c r="D115" s="147" t="s">
        <v>156</v>
      </c>
      <c r="E115" s="181" t="s">
        <v>237</v>
      </c>
      <c r="F115" s="145"/>
      <c r="G115" s="145"/>
      <c r="H115" s="145"/>
      <c r="I115" s="145"/>
      <c r="J115" s="151"/>
      <c r="K115" s="151"/>
      <c r="L115" s="151"/>
      <c r="M115" s="151"/>
      <c r="N115" s="151"/>
      <c r="O115" s="151"/>
      <c r="P115" s="151"/>
      <c r="Q115" s="151"/>
      <c r="R115" s="151"/>
      <c r="S115" s="151"/>
      <c r="T115" s="151"/>
      <c r="U115" s="151"/>
      <c r="V115" s="151"/>
      <c r="W115" s="151"/>
      <c r="X115" s="151"/>
      <c r="Y115" s="151"/>
      <c r="Z115" s="151"/>
      <c r="AA115" s="151"/>
      <c r="AB115" s="4"/>
      <c r="AC115" s="4"/>
      <c r="AD115" s="4"/>
    </row>
    <row r="116">
      <c r="A116" s="71"/>
      <c r="B116" s="71"/>
      <c r="C116" s="154" t="s">
        <v>238</v>
      </c>
      <c r="D116" s="146" t="s">
        <v>176</v>
      </c>
      <c r="E116" s="181" t="s">
        <v>237</v>
      </c>
      <c r="F116" s="146"/>
      <c r="G116" s="146"/>
      <c r="H116" s="146"/>
      <c r="I116" s="146"/>
      <c r="J116" s="151"/>
      <c r="K116" s="151"/>
      <c r="L116" s="151"/>
      <c r="M116" s="151"/>
      <c r="N116" s="151"/>
      <c r="O116" s="151"/>
      <c r="P116" s="151"/>
      <c r="Q116" s="151"/>
      <c r="R116" s="151"/>
      <c r="S116" s="151"/>
      <c r="T116" s="151"/>
      <c r="U116" s="151"/>
      <c r="V116" s="151"/>
      <c r="W116" s="151"/>
      <c r="X116" s="151"/>
      <c r="Y116" s="151"/>
      <c r="Z116" s="151"/>
      <c r="AA116" s="151"/>
      <c r="AB116" s="4"/>
      <c r="AC116" s="4"/>
      <c r="AD116" s="4"/>
    </row>
    <row r="117">
      <c r="A117" s="71"/>
      <c r="B117" s="71"/>
      <c r="C117" s="154" t="s">
        <v>239</v>
      </c>
      <c r="D117" s="146" t="s">
        <v>176</v>
      </c>
      <c r="E117" s="181" t="s">
        <v>237</v>
      </c>
      <c r="F117" s="146"/>
      <c r="G117" s="146"/>
      <c r="H117" s="146"/>
      <c r="I117" s="146"/>
      <c r="J117" s="151"/>
      <c r="K117" s="151"/>
      <c r="L117" s="151"/>
      <c r="M117" s="151"/>
      <c r="N117" s="151"/>
      <c r="O117" s="151"/>
      <c r="P117" s="151"/>
      <c r="Q117" s="151"/>
      <c r="R117" s="151"/>
      <c r="S117" s="151"/>
      <c r="T117" s="151"/>
      <c r="U117" s="151"/>
      <c r="V117" s="151"/>
      <c r="W117" s="151"/>
      <c r="X117" s="151"/>
      <c r="Y117" s="151"/>
      <c r="Z117" s="151"/>
      <c r="AA117" s="151"/>
      <c r="AB117" s="4"/>
      <c r="AC117" s="4"/>
      <c r="AD117" s="4"/>
    </row>
    <row r="118">
      <c r="A118" s="56"/>
      <c r="B118" s="195"/>
      <c r="C118" s="181" t="s">
        <v>240</v>
      </c>
      <c r="D118" s="198" t="s">
        <v>176</v>
      </c>
      <c r="E118" s="181" t="s">
        <v>237</v>
      </c>
      <c r="F118" s="219"/>
      <c r="G118" s="219"/>
      <c r="H118" s="219"/>
      <c r="I118" s="219"/>
      <c r="J118" s="210"/>
      <c r="K118" s="210"/>
      <c r="L118" s="210"/>
      <c r="M118" s="210"/>
      <c r="N118" s="210"/>
      <c r="O118" s="210"/>
      <c r="P118" s="164"/>
      <c r="Q118" s="164"/>
      <c r="R118" s="164"/>
      <c r="S118" s="164"/>
      <c r="T118" s="164"/>
      <c r="U118" s="164"/>
      <c r="V118" s="164"/>
      <c r="W118" s="164"/>
      <c r="X118" s="164"/>
      <c r="Y118" s="164"/>
      <c r="Z118" s="164"/>
      <c r="AA118" s="164"/>
      <c r="AB118" s="4"/>
      <c r="AC118" s="4"/>
      <c r="AD118" s="4"/>
    </row>
    <row r="119">
      <c r="A119" s="220" t="s">
        <v>62</v>
      </c>
      <c r="B119" s="221" t="s">
        <v>241</v>
      </c>
      <c r="C119" s="222" t="s">
        <v>242</v>
      </c>
      <c r="D119" s="223" t="s">
        <v>156</v>
      </c>
      <c r="E119" s="224" t="s">
        <v>243</v>
      </c>
      <c r="F119" s="224"/>
      <c r="G119" s="224"/>
      <c r="H119" s="224"/>
      <c r="I119" s="224"/>
      <c r="J119" s="223"/>
      <c r="K119" s="223"/>
      <c r="L119" s="223"/>
      <c r="M119" s="223"/>
      <c r="N119" s="223"/>
      <c r="O119" s="223"/>
      <c r="P119" s="170"/>
      <c r="Q119" s="170"/>
      <c r="R119" s="170"/>
      <c r="S119" s="170"/>
      <c r="T119" s="170"/>
      <c r="U119" s="170"/>
      <c r="V119" s="170"/>
      <c r="W119" s="170"/>
      <c r="X119" s="170"/>
      <c r="Y119" s="170"/>
      <c r="Z119" s="170"/>
      <c r="AA119" s="170"/>
      <c r="AB119" s="4"/>
      <c r="AC119" s="4"/>
      <c r="AD119" s="4"/>
    </row>
    <row r="120">
      <c r="A120" s="225"/>
      <c r="B120" s="71"/>
      <c r="C120" s="154" t="s">
        <v>244</v>
      </c>
      <c r="D120" s="146" t="s">
        <v>156</v>
      </c>
      <c r="E120" s="145" t="s">
        <v>245</v>
      </c>
      <c r="F120" s="145"/>
      <c r="G120" s="145"/>
      <c r="H120" s="145"/>
      <c r="I120" s="145"/>
      <c r="J120" s="146"/>
      <c r="K120" s="146"/>
      <c r="L120" s="146"/>
      <c r="M120" s="146"/>
      <c r="N120" s="146"/>
      <c r="O120" s="146"/>
      <c r="P120" s="151"/>
      <c r="Q120" s="151"/>
      <c r="R120" s="151"/>
      <c r="S120" s="151"/>
      <c r="T120" s="151"/>
      <c r="U120" s="151"/>
      <c r="V120" s="151"/>
      <c r="W120" s="151"/>
      <c r="X120" s="151"/>
      <c r="Y120" s="151"/>
      <c r="Z120" s="151"/>
      <c r="AA120" s="151"/>
      <c r="AB120" s="4"/>
      <c r="AC120" s="4"/>
      <c r="AD120" s="4"/>
    </row>
    <row r="121">
      <c r="A121" s="225"/>
      <c r="B121" s="71"/>
      <c r="C121" s="154" t="s">
        <v>246</v>
      </c>
      <c r="D121" s="146" t="s">
        <v>176</v>
      </c>
      <c r="E121" s="145" t="s">
        <v>247</v>
      </c>
      <c r="F121" s="145"/>
      <c r="G121" s="145"/>
      <c r="H121" s="145"/>
      <c r="I121" s="145"/>
      <c r="J121" s="146"/>
      <c r="K121" s="146"/>
      <c r="L121" s="146"/>
      <c r="M121" s="146"/>
      <c r="N121" s="146"/>
      <c r="O121" s="146"/>
      <c r="P121" s="151"/>
      <c r="Q121" s="151"/>
      <c r="R121" s="151"/>
      <c r="S121" s="151"/>
      <c r="T121" s="151"/>
      <c r="U121" s="151"/>
      <c r="V121" s="151"/>
      <c r="W121" s="151"/>
      <c r="X121" s="151"/>
      <c r="Y121" s="151"/>
      <c r="Z121" s="151"/>
      <c r="AA121" s="151"/>
      <c r="AB121" s="4"/>
      <c r="AC121" s="4"/>
      <c r="AD121" s="4"/>
    </row>
    <row r="122">
      <c r="A122" s="225"/>
      <c r="B122" s="71"/>
      <c r="C122" s="154" t="s">
        <v>248</v>
      </c>
      <c r="D122" s="146" t="s">
        <v>231</v>
      </c>
      <c r="E122" s="145" t="s">
        <v>249</v>
      </c>
      <c r="F122" s="145"/>
      <c r="G122" s="145"/>
      <c r="H122" s="145"/>
      <c r="I122" s="145"/>
      <c r="J122" s="146"/>
      <c r="K122" s="146"/>
      <c r="L122" s="146"/>
      <c r="M122" s="146"/>
      <c r="N122" s="146"/>
      <c r="O122" s="146"/>
      <c r="P122" s="151"/>
      <c r="Q122" s="151"/>
      <c r="R122" s="151"/>
      <c r="S122" s="151"/>
      <c r="T122" s="151"/>
      <c r="U122" s="151"/>
      <c r="V122" s="151"/>
      <c r="W122" s="151"/>
      <c r="X122" s="151"/>
      <c r="Y122" s="151"/>
      <c r="Z122" s="151"/>
      <c r="AA122" s="151"/>
      <c r="AB122" s="4"/>
      <c r="AC122" s="4"/>
      <c r="AD122" s="4"/>
    </row>
    <row r="123">
      <c r="A123" s="226"/>
      <c r="B123" s="74"/>
      <c r="C123" s="215" t="s">
        <v>250</v>
      </c>
      <c r="D123" s="162" t="s">
        <v>231</v>
      </c>
      <c r="E123" s="172" t="s">
        <v>232</v>
      </c>
      <c r="F123" s="172"/>
      <c r="G123" s="172"/>
      <c r="H123" s="172"/>
      <c r="I123" s="172"/>
      <c r="J123" s="162"/>
      <c r="K123" s="162"/>
      <c r="L123" s="162"/>
      <c r="M123" s="162"/>
      <c r="N123" s="162"/>
      <c r="O123" s="162"/>
      <c r="P123" s="164"/>
      <c r="Q123" s="164"/>
      <c r="R123" s="164"/>
      <c r="S123" s="164"/>
      <c r="T123" s="164"/>
      <c r="U123" s="164"/>
      <c r="V123" s="164"/>
      <c r="W123" s="164"/>
      <c r="X123" s="164"/>
      <c r="Y123" s="164"/>
      <c r="Z123" s="164"/>
      <c r="AA123" s="164"/>
      <c r="AB123" s="4"/>
      <c r="AC123" s="4"/>
      <c r="AD123" s="4"/>
    </row>
    <row r="124">
      <c r="A124" s="227"/>
      <c r="B124" s="227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</row>
    <row r="125">
      <c r="A125" s="227"/>
      <c r="B125" s="227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</row>
    <row r="126">
      <c r="A126" s="227"/>
      <c r="B126" s="227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</row>
    <row r="127">
      <c r="A127" s="227"/>
      <c r="B127" s="227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</row>
    <row r="128">
      <c r="A128" s="227"/>
      <c r="B128" s="227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</row>
    <row r="129">
      <c r="A129" s="227"/>
      <c r="B129" s="227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</row>
    <row r="130">
      <c r="A130" s="227"/>
      <c r="B130" s="227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</row>
    <row r="131">
      <c r="A131" s="227"/>
      <c r="B131" s="227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</row>
    <row r="132">
      <c r="A132" s="227"/>
      <c r="B132" s="227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</row>
    <row r="133">
      <c r="A133" s="227"/>
      <c r="B133" s="227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</row>
    <row r="134">
      <c r="A134" s="227"/>
      <c r="B134" s="227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</row>
    <row r="135">
      <c r="A135" s="227"/>
      <c r="B135" s="227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</row>
    <row r="136">
      <c r="A136" s="227"/>
      <c r="B136" s="227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</row>
    <row r="137">
      <c r="A137" s="227"/>
      <c r="B137" s="227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</row>
    <row r="138">
      <c r="A138" s="227"/>
      <c r="B138" s="227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</row>
    <row r="139">
      <c r="A139" s="227"/>
      <c r="B139" s="227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</row>
    <row r="140">
      <c r="A140" s="227"/>
      <c r="B140" s="227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</row>
    <row r="141">
      <c r="A141" s="227"/>
      <c r="B141" s="227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</row>
    <row r="142">
      <c r="A142" s="227"/>
      <c r="B142" s="227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</row>
    <row r="143">
      <c r="A143" s="227"/>
      <c r="B143" s="227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</row>
    <row r="144">
      <c r="A144" s="227"/>
      <c r="B144" s="227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</row>
    <row r="145">
      <c r="A145" s="227"/>
      <c r="B145" s="227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</row>
    <row r="146">
      <c r="A146" s="227"/>
      <c r="B146" s="227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</row>
    <row r="147">
      <c r="A147" s="227"/>
      <c r="B147" s="227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</row>
    <row r="148">
      <c r="A148" s="227"/>
      <c r="B148" s="227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</row>
    <row r="149">
      <c r="A149" s="227"/>
      <c r="B149" s="227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</row>
    <row r="150">
      <c r="A150" s="227"/>
      <c r="B150" s="227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</row>
    <row r="151">
      <c r="A151" s="227"/>
      <c r="B151" s="227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</row>
    <row r="152">
      <c r="A152" s="227"/>
      <c r="B152" s="227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</row>
    <row r="153">
      <c r="A153" s="227"/>
      <c r="B153" s="227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</row>
    <row r="154">
      <c r="A154" s="227"/>
      <c r="B154" s="227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</row>
    <row r="155">
      <c r="A155" s="227"/>
      <c r="B155" s="227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</row>
    <row r="156">
      <c r="A156" s="227"/>
      <c r="B156" s="227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</row>
    <row r="157">
      <c r="A157" s="227"/>
      <c r="B157" s="227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</row>
    <row r="158">
      <c r="A158" s="227"/>
      <c r="B158" s="227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</row>
    <row r="159">
      <c r="A159" s="227"/>
      <c r="B159" s="227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</row>
    <row r="160">
      <c r="A160" s="227"/>
      <c r="B160" s="227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</row>
    <row r="161">
      <c r="A161" s="227"/>
      <c r="B161" s="227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</row>
    <row r="162">
      <c r="A162" s="227"/>
      <c r="B162" s="227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</row>
    <row r="163">
      <c r="A163" s="227"/>
      <c r="B163" s="227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</row>
    <row r="164">
      <c r="A164" s="227"/>
      <c r="B164" s="227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</row>
    <row r="165">
      <c r="A165" s="227"/>
      <c r="B165" s="227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</row>
    <row r="166">
      <c r="A166" s="227"/>
      <c r="B166" s="227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</row>
    <row r="167">
      <c r="A167" s="227"/>
      <c r="B167" s="227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</row>
    <row r="168">
      <c r="A168" s="227"/>
      <c r="B168" s="227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</row>
    <row r="169">
      <c r="A169" s="227"/>
      <c r="B169" s="227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</row>
    <row r="170">
      <c r="A170" s="227"/>
      <c r="B170" s="227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</row>
    <row r="171">
      <c r="A171" s="227"/>
      <c r="B171" s="227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</row>
    <row r="172">
      <c r="A172" s="227"/>
      <c r="B172" s="227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</row>
    <row r="173">
      <c r="A173" s="227"/>
      <c r="B173" s="227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</row>
    <row r="174">
      <c r="A174" s="227"/>
      <c r="B174" s="227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</row>
    <row r="175">
      <c r="A175" s="227"/>
      <c r="B175" s="227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</row>
    <row r="176">
      <c r="A176" s="227"/>
      <c r="B176" s="227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</row>
    <row r="177">
      <c r="A177" s="227"/>
      <c r="B177" s="227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</row>
    <row r="178">
      <c r="A178" s="227"/>
      <c r="B178" s="227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</row>
    <row r="179">
      <c r="A179" s="227"/>
      <c r="B179" s="227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</row>
    <row r="180">
      <c r="A180" s="227"/>
      <c r="B180" s="227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</row>
    <row r="181">
      <c r="A181" s="227"/>
      <c r="B181" s="227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</row>
    <row r="182">
      <c r="A182" s="227"/>
      <c r="B182" s="227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</row>
    <row r="183">
      <c r="A183" s="227"/>
      <c r="B183" s="227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</row>
    <row r="184">
      <c r="A184" s="227"/>
      <c r="B184" s="227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</row>
    <row r="185">
      <c r="A185" s="227"/>
      <c r="B185" s="227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</row>
    <row r="186">
      <c r="A186" s="227"/>
      <c r="B186" s="227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</row>
    <row r="187">
      <c r="A187" s="227"/>
      <c r="B187" s="227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</row>
    <row r="188">
      <c r="A188" s="227"/>
      <c r="B188" s="227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</row>
    <row r="189">
      <c r="A189" s="227"/>
      <c r="B189" s="227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</row>
    <row r="190">
      <c r="A190" s="227"/>
      <c r="B190" s="227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</row>
    <row r="191">
      <c r="A191" s="227"/>
      <c r="B191" s="227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</row>
    <row r="192">
      <c r="A192" s="227"/>
      <c r="B192" s="227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</row>
    <row r="193">
      <c r="A193" s="227"/>
      <c r="B193" s="227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</row>
    <row r="194">
      <c r="A194" s="227"/>
      <c r="B194" s="227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</row>
    <row r="195">
      <c r="A195" s="227"/>
      <c r="B195" s="227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</row>
    <row r="196">
      <c r="A196" s="227"/>
      <c r="B196" s="227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</row>
    <row r="197">
      <c r="A197" s="227"/>
      <c r="B197" s="227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</row>
    <row r="198">
      <c r="A198" s="227"/>
      <c r="B198" s="227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</row>
    <row r="199">
      <c r="A199" s="227"/>
      <c r="B199" s="227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</row>
    <row r="200">
      <c r="A200" s="227"/>
      <c r="B200" s="227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</row>
    <row r="201">
      <c r="A201" s="227"/>
      <c r="B201" s="227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</row>
    <row r="202">
      <c r="A202" s="227"/>
      <c r="B202" s="227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</row>
    <row r="203">
      <c r="A203" s="227"/>
      <c r="B203" s="227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</row>
    <row r="204">
      <c r="A204" s="227"/>
      <c r="B204" s="227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</row>
    <row r="205">
      <c r="A205" s="227"/>
      <c r="B205" s="227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</row>
    <row r="206">
      <c r="A206" s="227"/>
      <c r="B206" s="227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</row>
    <row r="207">
      <c r="A207" s="227"/>
      <c r="B207" s="227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</row>
    <row r="208">
      <c r="A208" s="227"/>
      <c r="B208" s="227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</row>
    <row r="209">
      <c r="A209" s="227"/>
      <c r="B209" s="227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</row>
    <row r="210">
      <c r="A210" s="227"/>
      <c r="B210" s="227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</row>
    <row r="211">
      <c r="A211" s="227"/>
      <c r="B211" s="227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</row>
    <row r="212">
      <c r="A212" s="227"/>
      <c r="B212" s="227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</row>
    <row r="213">
      <c r="A213" s="227"/>
      <c r="B213" s="227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</row>
    <row r="214">
      <c r="A214" s="227"/>
      <c r="B214" s="227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</row>
    <row r="215">
      <c r="A215" s="227"/>
      <c r="B215" s="227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</row>
    <row r="216">
      <c r="A216" s="227"/>
      <c r="B216" s="227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</row>
    <row r="217">
      <c r="A217" s="227"/>
      <c r="B217" s="227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</row>
    <row r="218">
      <c r="A218" s="227"/>
      <c r="B218" s="227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</row>
    <row r="219">
      <c r="A219" s="227"/>
      <c r="B219" s="227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</row>
    <row r="220">
      <c r="A220" s="227"/>
      <c r="B220" s="227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</row>
    <row r="221">
      <c r="A221" s="227"/>
      <c r="B221" s="227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</row>
    <row r="222">
      <c r="A222" s="227"/>
      <c r="B222" s="227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</row>
    <row r="223">
      <c r="A223" s="227"/>
      <c r="B223" s="227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</row>
    <row r="224">
      <c r="A224" s="227"/>
      <c r="B224" s="227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</row>
    <row r="225">
      <c r="A225" s="227"/>
      <c r="B225" s="227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</row>
    <row r="226">
      <c r="A226" s="227"/>
      <c r="B226" s="227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</row>
    <row r="227">
      <c r="A227" s="227"/>
      <c r="B227" s="227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</row>
    <row r="228">
      <c r="A228" s="227"/>
      <c r="B228" s="227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</row>
    <row r="229">
      <c r="A229" s="227"/>
      <c r="B229" s="227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</row>
    <row r="230">
      <c r="A230" s="227"/>
      <c r="B230" s="227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</row>
    <row r="231">
      <c r="A231" s="227"/>
      <c r="B231" s="227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</row>
    <row r="232">
      <c r="A232" s="227"/>
      <c r="B232" s="227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</row>
    <row r="233">
      <c r="A233" s="227"/>
      <c r="B233" s="227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</row>
    <row r="234">
      <c r="A234" s="227"/>
      <c r="B234" s="227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</row>
    <row r="235">
      <c r="A235" s="227"/>
      <c r="B235" s="227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</row>
    <row r="236">
      <c r="A236" s="227"/>
      <c r="B236" s="227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</row>
    <row r="237">
      <c r="A237" s="227"/>
      <c r="B237" s="227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</row>
    <row r="238">
      <c r="A238" s="227"/>
      <c r="B238" s="227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</row>
    <row r="239">
      <c r="A239" s="227"/>
      <c r="B239" s="227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</row>
    <row r="240">
      <c r="A240" s="227"/>
      <c r="B240" s="227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</row>
    <row r="241">
      <c r="A241" s="227"/>
      <c r="B241" s="227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</row>
    <row r="242">
      <c r="A242" s="227"/>
      <c r="B242" s="227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</row>
    <row r="243">
      <c r="A243" s="227"/>
      <c r="B243" s="227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</row>
    <row r="244">
      <c r="A244" s="227"/>
      <c r="B244" s="227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</row>
    <row r="245">
      <c r="A245" s="227"/>
      <c r="B245" s="227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</row>
    <row r="246">
      <c r="A246" s="227"/>
      <c r="B246" s="227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</row>
    <row r="247">
      <c r="A247" s="227"/>
      <c r="B247" s="227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</row>
    <row r="248">
      <c r="A248" s="227"/>
      <c r="B248" s="227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</row>
    <row r="249">
      <c r="A249" s="227"/>
      <c r="B249" s="227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</row>
    <row r="250">
      <c r="A250" s="227"/>
      <c r="B250" s="227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</row>
    <row r="251">
      <c r="A251" s="227"/>
      <c r="B251" s="227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</row>
    <row r="252">
      <c r="A252" s="227"/>
      <c r="B252" s="227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</row>
    <row r="253">
      <c r="A253" s="227"/>
      <c r="B253" s="227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</row>
    <row r="254">
      <c r="A254" s="227"/>
      <c r="B254" s="227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</row>
    <row r="255">
      <c r="A255" s="227"/>
      <c r="B255" s="227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</row>
    <row r="256">
      <c r="A256" s="227"/>
      <c r="B256" s="227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</row>
    <row r="257">
      <c r="A257" s="227"/>
      <c r="B257" s="227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</row>
    <row r="258">
      <c r="A258" s="227"/>
      <c r="B258" s="227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</row>
    <row r="259">
      <c r="A259" s="227"/>
      <c r="B259" s="227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</row>
    <row r="260">
      <c r="A260" s="227"/>
      <c r="B260" s="227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</row>
    <row r="261">
      <c r="A261" s="227"/>
      <c r="B261" s="227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</row>
    <row r="262">
      <c r="A262" s="227"/>
      <c r="B262" s="227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</row>
    <row r="263">
      <c r="A263" s="227"/>
      <c r="B263" s="227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</row>
    <row r="264">
      <c r="A264" s="227"/>
      <c r="B264" s="227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</row>
    <row r="265">
      <c r="A265" s="227"/>
      <c r="B265" s="227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</row>
    <row r="266">
      <c r="A266" s="227"/>
      <c r="B266" s="227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</row>
    <row r="267">
      <c r="A267" s="227"/>
      <c r="B267" s="227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</row>
    <row r="268">
      <c r="A268" s="227"/>
      <c r="B268" s="227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</row>
    <row r="269">
      <c r="A269" s="227"/>
      <c r="B269" s="227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</row>
    <row r="270">
      <c r="A270" s="227"/>
      <c r="B270" s="227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</row>
    <row r="271">
      <c r="A271" s="227"/>
      <c r="B271" s="227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</row>
    <row r="272">
      <c r="A272" s="227"/>
      <c r="B272" s="227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</row>
    <row r="273">
      <c r="A273" s="227"/>
      <c r="B273" s="227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</row>
    <row r="274">
      <c r="A274" s="227"/>
      <c r="B274" s="227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</row>
    <row r="275">
      <c r="A275" s="227"/>
      <c r="B275" s="227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</row>
    <row r="276">
      <c r="A276" s="227"/>
      <c r="B276" s="227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</row>
    <row r="277">
      <c r="A277" s="227"/>
      <c r="B277" s="227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</row>
    <row r="278">
      <c r="A278" s="227"/>
      <c r="B278" s="227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</row>
    <row r="279">
      <c r="A279" s="227"/>
      <c r="B279" s="227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</row>
    <row r="280">
      <c r="A280" s="227"/>
      <c r="B280" s="227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</row>
    <row r="281">
      <c r="A281" s="227"/>
      <c r="B281" s="227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</row>
    <row r="282">
      <c r="A282" s="227"/>
      <c r="B282" s="227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</row>
    <row r="283">
      <c r="A283" s="227"/>
      <c r="B283" s="227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</row>
    <row r="284">
      <c r="A284" s="227"/>
      <c r="B284" s="227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</row>
    <row r="285">
      <c r="A285" s="227"/>
      <c r="B285" s="227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</row>
    <row r="286">
      <c r="A286" s="227"/>
      <c r="B286" s="227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</row>
    <row r="287">
      <c r="A287" s="227"/>
      <c r="B287" s="227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</row>
    <row r="288">
      <c r="A288" s="227"/>
      <c r="B288" s="227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</row>
    <row r="289">
      <c r="A289" s="227"/>
      <c r="B289" s="227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</row>
    <row r="290">
      <c r="A290" s="227"/>
      <c r="B290" s="227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</row>
    <row r="291">
      <c r="A291" s="227"/>
      <c r="B291" s="227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</row>
    <row r="292">
      <c r="A292" s="227"/>
      <c r="B292" s="227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</row>
    <row r="293">
      <c r="A293" s="227"/>
      <c r="B293" s="227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</row>
    <row r="294">
      <c r="A294" s="227"/>
      <c r="B294" s="227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</row>
    <row r="295">
      <c r="A295" s="227"/>
      <c r="B295" s="227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</row>
    <row r="296">
      <c r="A296" s="227"/>
      <c r="B296" s="227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</row>
    <row r="297">
      <c r="A297" s="227"/>
      <c r="B297" s="227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</row>
    <row r="298">
      <c r="A298" s="227"/>
      <c r="B298" s="227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</row>
    <row r="299">
      <c r="A299" s="227"/>
      <c r="B299" s="227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</row>
    <row r="300">
      <c r="A300" s="227"/>
      <c r="B300" s="227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</row>
    <row r="301">
      <c r="A301" s="227"/>
      <c r="B301" s="227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</row>
    <row r="302">
      <c r="A302" s="227"/>
      <c r="B302" s="227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</row>
    <row r="303">
      <c r="A303" s="227"/>
      <c r="B303" s="227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</row>
    <row r="304">
      <c r="A304" s="227"/>
      <c r="B304" s="227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</row>
    <row r="305">
      <c r="A305" s="227"/>
      <c r="B305" s="227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</row>
    <row r="306">
      <c r="A306" s="227"/>
      <c r="B306" s="227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</row>
    <row r="307">
      <c r="A307" s="227"/>
      <c r="B307" s="227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</row>
    <row r="308">
      <c r="A308" s="227"/>
      <c r="B308" s="227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</row>
    <row r="309">
      <c r="A309" s="227"/>
      <c r="B309" s="227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</row>
    <row r="310">
      <c r="A310" s="227"/>
      <c r="B310" s="227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</row>
    <row r="311">
      <c r="A311" s="227"/>
      <c r="B311" s="227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</row>
    <row r="312">
      <c r="A312" s="227"/>
      <c r="B312" s="227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</row>
    <row r="313">
      <c r="A313" s="227"/>
      <c r="B313" s="227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</row>
    <row r="314">
      <c r="A314" s="227"/>
      <c r="B314" s="227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</row>
    <row r="315">
      <c r="A315" s="227"/>
      <c r="B315" s="227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</row>
    <row r="316">
      <c r="A316" s="227"/>
      <c r="B316" s="227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</row>
    <row r="317">
      <c r="A317" s="227"/>
      <c r="B317" s="227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</row>
    <row r="318">
      <c r="A318" s="227"/>
      <c r="B318" s="227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</row>
    <row r="319">
      <c r="A319" s="227"/>
      <c r="B319" s="227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</row>
    <row r="320">
      <c r="A320" s="227"/>
      <c r="B320" s="227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</row>
    <row r="321">
      <c r="A321" s="227"/>
      <c r="B321" s="227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</row>
    <row r="322">
      <c r="A322" s="227"/>
      <c r="B322" s="227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</row>
    <row r="323">
      <c r="A323" s="227"/>
      <c r="B323" s="227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</row>
    <row r="324">
      <c r="A324" s="227"/>
      <c r="B324" s="227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</row>
    <row r="325">
      <c r="A325" s="227"/>
      <c r="B325" s="227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</row>
    <row r="326">
      <c r="A326" s="227"/>
      <c r="B326" s="227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</row>
    <row r="327">
      <c r="A327" s="227"/>
      <c r="B327" s="227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</row>
    <row r="328">
      <c r="A328" s="227"/>
      <c r="B328" s="227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</row>
    <row r="329">
      <c r="A329" s="227"/>
      <c r="B329" s="227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</row>
    <row r="330">
      <c r="A330" s="227"/>
      <c r="B330" s="227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</row>
    <row r="331">
      <c r="A331" s="227"/>
      <c r="B331" s="227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</row>
    <row r="332">
      <c r="A332" s="227"/>
      <c r="B332" s="227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</row>
    <row r="333">
      <c r="A333" s="227"/>
      <c r="B333" s="227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</row>
    <row r="334">
      <c r="A334" s="227"/>
      <c r="B334" s="227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</row>
    <row r="335">
      <c r="A335" s="227"/>
      <c r="B335" s="227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</row>
    <row r="336">
      <c r="A336" s="227"/>
      <c r="B336" s="227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</row>
    <row r="337">
      <c r="A337" s="227"/>
      <c r="B337" s="227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</row>
    <row r="338">
      <c r="A338" s="227"/>
      <c r="B338" s="227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</row>
    <row r="339">
      <c r="A339" s="227"/>
      <c r="B339" s="227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</row>
    <row r="340">
      <c r="A340" s="227"/>
      <c r="B340" s="227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</row>
    <row r="341">
      <c r="A341" s="227"/>
      <c r="B341" s="227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</row>
    <row r="342">
      <c r="A342" s="227"/>
      <c r="B342" s="227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</row>
    <row r="343">
      <c r="A343" s="227"/>
      <c r="B343" s="227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</row>
    <row r="344">
      <c r="A344" s="227"/>
      <c r="B344" s="227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</row>
    <row r="345">
      <c r="A345" s="227"/>
      <c r="B345" s="227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</row>
    <row r="346">
      <c r="A346" s="227"/>
      <c r="B346" s="227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</row>
    <row r="347">
      <c r="A347" s="227"/>
      <c r="B347" s="227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</row>
    <row r="348">
      <c r="A348" s="227"/>
      <c r="B348" s="227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</row>
    <row r="349">
      <c r="A349" s="227"/>
      <c r="B349" s="227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</row>
    <row r="350">
      <c r="A350" s="227"/>
      <c r="B350" s="227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</row>
    <row r="351">
      <c r="A351" s="227"/>
      <c r="B351" s="227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</row>
    <row r="352">
      <c r="A352" s="227"/>
      <c r="B352" s="227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</row>
    <row r="353">
      <c r="A353" s="227"/>
      <c r="B353" s="227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</row>
    <row r="354">
      <c r="A354" s="227"/>
      <c r="B354" s="227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</row>
    <row r="355">
      <c r="A355" s="227"/>
      <c r="B355" s="227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</row>
    <row r="356">
      <c r="A356" s="227"/>
      <c r="B356" s="227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</row>
    <row r="357">
      <c r="A357" s="227"/>
      <c r="B357" s="227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</row>
    <row r="358">
      <c r="A358" s="227"/>
      <c r="B358" s="227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</row>
    <row r="359">
      <c r="A359" s="227"/>
      <c r="B359" s="227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</row>
    <row r="360">
      <c r="A360" s="227"/>
      <c r="B360" s="227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</row>
    <row r="361">
      <c r="A361" s="227"/>
      <c r="B361" s="227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</row>
    <row r="362">
      <c r="A362" s="227"/>
      <c r="B362" s="227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</row>
    <row r="363">
      <c r="A363" s="227"/>
      <c r="B363" s="227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</row>
    <row r="364">
      <c r="A364" s="227"/>
      <c r="B364" s="227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</row>
    <row r="365">
      <c r="A365" s="227"/>
      <c r="B365" s="227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</row>
    <row r="366">
      <c r="A366" s="227"/>
      <c r="B366" s="227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</row>
    <row r="367">
      <c r="A367" s="227"/>
      <c r="B367" s="227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</row>
    <row r="368">
      <c r="A368" s="227"/>
      <c r="B368" s="227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</row>
    <row r="369">
      <c r="A369" s="227"/>
      <c r="B369" s="227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</row>
    <row r="370">
      <c r="A370" s="227"/>
      <c r="B370" s="227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</row>
    <row r="371">
      <c r="A371" s="227"/>
      <c r="B371" s="227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</row>
    <row r="372">
      <c r="A372" s="227"/>
      <c r="B372" s="227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</row>
    <row r="373">
      <c r="A373" s="227"/>
      <c r="B373" s="227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</row>
    <row r="374">
      <c r="A374" s="227"/>
      <c r="B374" s="227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</row>
    <row r="375">
      <c r="A375" s="227"/>
      <c r="B375" s="227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</row>
    <row r="376">
      <c r="A376" s="227"/>
      <c r="B376" s="227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</row>
    <row r="377">
      <c r="A377" s="227"/>
      <c r="B377" s="227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</row>
    <row r="378">
      <c r="A378" s="227"/>
      <c r="B378" s="227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</row>
    <row r="379">
      <c r="A379" s="227"/>
      <c r="B379" s="227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</row>
    <row r="380">
      <c r="A380" s="227"/>
      <c r="B380" s="227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</row>
    <row r="381">
      <c r="A381" s="227"/>
      <c r="B381" s="227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</row>
    <row r="382">
      <c r="A382" s="227"/>
      <c r="B382" s="227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</row>
    <row r="383">
      <c r="A383" s="227"/>
      <c r="B383" s="227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</row>
    <row r="384">
      <c r="A384" s="227"/>
      <c r="B384" s="227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</row>
    <row r="385">
      <c r="A385" s="227"/>
      <c r="B385" s="227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</row>
    <row r="386">
      <c r="A386" s="227"/>
      <c r="B386" s="227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</row>
    <row r="387">
      <c r="A387" s="227"/>
      <c r="B387" s="227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</row>
    <row r="388">
      <c r="A388" s="227"/>
      <c r="B388" s="227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</row>
    <row r="389">
      <c r="A389" s="227"/>
      <c r="B389" s="227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</row>
    <row r="390">
      <c r="A390" s="227"/>
      <c r="B390" s="227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</row>
    <row r="391">
      <c r="A391" s="227"/>
      <c r="B391" s="227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</row>
    <row r="392">
      <c r="A392" s="227"/>
      <c r="B392" s="227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</row>
    <row r="393">
      <c r="A393" s="227"/>
      <c r="B393" s="227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</row>
    <row r="394">
      <c r="A394" s="227"/>
      <c r="B394" s="227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</row>
    <row r="395">
      <c r="A395" s="227"/>
      <c r="B395" s="227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</row>
    <row r="396">
      <c r="A396" s="227"/>
      <c r="B396" s="227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</row>
    <row r="397">
      <c r="A397" s="227"/>
      <c r="B397" s="227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</row>
    <row r="398">
      <c r="A398" s="227"/>
      <c r="B398" s="227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</row>
    <row r="399">
      <c r="A399" s="227"/>
      <c r="B399" s="227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</row>
    <row r="400">
      <c r="A400" s="227"/>
      <c r="B400" s="227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</row>
    <row r="401">
      <c r="A401" s="227"/>
      <c r="B401" s="227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</row>
    <row r="402">
      <c r="A402" s="227"/>
      <c r="B402" s="227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</row>
    <row r="403">
      <c r="A403" s="227"/>
      <c r="B403" s="227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</row>
    <row r="404">
      <c r="A404" s="227"/>
      <c r="B404" s="227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</row>
    <row r="405">
      <c r="A405" s="227"/>
      <c r="B405" s="227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</row>
    <row r="406">
      <c r="A406" s="227"/>
      <c r="B406" s="227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</row>
    <row r="407">
      <c r="A407" s="227"/>
      <c r="B407" s="227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</row>
    <row r="408">
      <c r="A408" s="227"/>
      <c r="B408" s="227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</row>
    <row r="409">
      <c r="A409" s="227"/>
      <c r="B409" s="227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</row>
    <row r="410">
      <c r="A410" s="227"/>
      <c r="B410" s="227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</row>
    <row r="411">
      <c r="A411" s="227"/>
      <c r="B411" s="227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</row>
    <row r="412">
      <c r="A412" s="227"/>
      <c r="B412" s="227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</row>
    <row r="413">
      <c r="A413" s="227"/>
      <c r="B413" s="227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</row>
    <row r="414">
      <c r="A414" s="227"/>
      <c r="B414" s="227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</row>
    <row r="415">
      <c r="A415" s="227"/>
      <c r="B415" s="227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</row>
    <row r="416">
      <c r="A416" s="227"/>
      <c r="B416" s="227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</row>
    <row r="417">
      <c r="A417" s="227"/>
      <c r="B417" s="227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</row>
    <row r="418">
      <c r="A418" s="227"/>
      <c r="B418" s="227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</row>
    <row r="419">
      <c r="A419" s="227"/>
      <c r="B419" s="227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</row>
    <row r="420">
      <c r="A420" s="227"/>
      <c r="B420" s="227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</row>
    <row r="421">
      <c r="A421" s="227"/>
      <c r="B421" s="227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</row>
    <row r="422">
      <c r="A422" s="227"/>
      <c r="B422" s="227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</row>
    <row r="423">
      <c r="A423" s="227"/>
      <c r="B423" s="227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</row>
    <row r="424">
      <c r="A424" s="227"/>
      <c r="B424" s="227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</row>
    <row r="425">
      <c r="A425" s="227"/>
      <c r="B425" s="227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</row>
    <row r="426">
      <c r="A426" s="227"/>
      <c r="B426" s="227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</row>
    <row r="427">
      <c r="A427" s="227"/>
      <c r="B427" s="227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</row>
    <row r="428">
      <c r="A428" s="227"/>
      <c r="B428" s="227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</row>
    <row r="429">
      <c r="A429" s="227"/>
      <c r="B429" s="227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</row>
    <row r="430">
      <c r="A430" s="227"/>
      <c r="B430" s="227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</row>
    <row r="431">
      <c r="A431" s="227"/>
      <c r="B431" s="227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</row>
    <row r="432">
      <c r="A432" s="227"/>
      <c r="B432" s="227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</row>
    <row r="433">
      <c r="A433" s="227"/>
      <c r="B433" s="227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</row>
    <row r="434">
      <c r="A434" s="227"/>
      <c r="B434" s="227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</row>
    <row r="435">
      <c r="A435" s="227"/>
      <c r="B435" s="227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</row>
    <row r="436">
      <c r="A436" s="227"/>
      <c r="B436" s="227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</row>
    <row r="437">
      <c r="A437" s="227"/>
      <c r="B437" s="227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</row>
    <row r="438">
      <c r="A438" s="227"/>
      <c r="B438" s="227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</row>
    <row r="439">
      <c r="A439" s="227"/>
      <c r="B439" s="227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</row>
    <row r="440">
      <c r="A440" s="227"/>
      <c r="B440" s="227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</row>
    <row r="441">
      <c r="A441" s="227"/>
      <c r="B441" s="227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</row>
    <row r="442">
      <c r="A442" s="227"/>
      <c r="B442" s="227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</row>
    <row r="443">
      <c r="A443" s="227"/>
      <c r="B443" s="227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</row>
    <row r="444">
      <c r="A444" s="227"/>
      <c r="B444" s="227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</row>
    <row r="445">
      <c r="A445" s="227"/>
      <c r="B445" s="227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</row>
    <row r="446">
      <c r="A446" s="227"/>
      <c r="B446" s="227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</row>
    <row r="447">
      <c r="A447" s="227"/>
      <c r="B447" s="227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</row>
    <row r="448">
      <c r="A448" s="227"/>
      <c r="B448" s="227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</row>
    <row r="449">
      <c r="A449" s="227"/>
      <c r="B449" s="227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</row>
    <row r="450">
      <c r="A450" s="227"/>
      <c r="B450" s="227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</row>
    <row r="451">
      <c r="A451" s="227"/>
      <c r="B451" s="227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</row>
    <row r="452">
      <c r="A452" s="227"/>
      <c r="B452" s="227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</row>
    <row r="453">
      <c r="A453" s="227"/>
      <c r="B453" s="227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</row>
    <row r="454">
      <c r="A454" s="227"/>
      <c r="B454" s="227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</row>
    <row r="455">
      <c r="A455" s="227"/>
      <c r="B455" s="227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</row>
    <row r="456">
      <c r="A456" s="227"/>
      <c r="B456" s="227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</row>
    <row r="457">
      <c r="A457" s="227"/>
      <c r="B457" s="227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</row>
    <row r="458">
      <c r="A458" s="227"/>
      <c r="B458" s="227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</row>
    <row r="459">
      <c r="A459" s="227"/>
      <c r="B459" s="227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</row>
    <row r="460">
      <c r="A460" s="227"/>
      <c r="B460" s="227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</row>
    <row r="461">
      <c r="A461" s="227"/>
      <c r="B461" s="227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</row>
    <row r="462">
      <c r="A462" s="227"/>
      <c r="B462" s="227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</row>
    <row r="463">
      <c r="A463" s="227"/>
      <c r="B463" s="227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</row>
    <row r="464">
      <c r="A464" s="227"/>
      <c r="B464" s="227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</row>
    <row r="465">
      <c r="A465" s="227"/>
      <c r="B465" s="227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</row>
    <row r="466">
      <c r="A466" s="227"/>
      <c r="B466" s="227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</row>
    <row r="467">
      <c r="A467" s="227"/>
      <c r="B467" s="227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</row>
    <row r="468">
      <c r="A468" s="227"/>
      <c r="B468" s="227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</row>
    <row r="469">
      <c r="A469" s="227"/>
      <c r="B469" s="227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</row>
    <row r="470">
      <c r="A470" s="227"/>
      <c r="B470" s="227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</row>
    <row r="471">
      <c r="A471" s="227"/>
      <c r="B471" s="227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</row>
    <row r="472">
      <c r="A472" s="227"/>
      <c r="B472" s="227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</row>
    <row r="473">
      <c r="A473" s="227"/>
      <c r="B473" s="227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</row>
    <row r="474">
      <c r="A474" s="227"/>
      <c r="B474" s="227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</row>
    <row r="475">
      <c r="A475" s="227"/>
      <c r="B475" s="227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</row>
    <row r="476">
      <c r="A476" s="227"/>
      <c r="B476" s="227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</row>
    <row r="477">
      <c r="A477" s="227"/>
      <c r="B477" s="227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</row>
    <row r="478">
      <c r="A478" s="227"/>
      <c r="B478" s="227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</row>
    <row r="479">
      <c r="A479" s="227"/>
      <c r="B479" s="227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</row>
    <row r="480">
      <c r="A480" s="227"/>
      <c r="B480" s="227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</row>
    <row r="481">
      <c r="A481" s="227"/>
      <c r="B481" s="227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</row>
    <row r="482">
      <c r="A482" s="227"/>
      <c r="B482" s="227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</row>
    <row r="483">
      <c r="A483" s="227"/>
      <c r="B483" s="227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</row>
    <row r="484">
      <c r="A484" s="227"/>
      <c r="B484" s="227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</row>
    <row r="485">
      <c r="A485" s="227"/>
      <c r="B485" s="227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</row>
    <row r="486">
      <c r="A486" s="227"/>
      <c r="B486" s="227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</row>
    <row r="487">
      <c r="A487" s="227"/>
      <c r="B487" s="227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</row>
    <row r="488">
      <c r="A488" s="227"/>
      <c r="B488" s="227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</row>
    <row r="489">
      <c r="A489" s="227"/>
      <c r="B489" s="227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</row>
    <row r="490">
      <c r="A490" s="227"/>
      <c r="B490" s="227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</row>
    <row r="491">
      <c r="A491" s="227"/>
      <c r="B491" s="227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</row>
    <row r="492">
      <c r="A492" s="227"/>
      <c r="B492" s="227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</row>
    <row r="493">
      <c r="A493" s="227"/>
      <c r="B493" s="227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</row>
    <row r="494">
      <c r="A494" s="227"/>
      <c r="B494" s="227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</row>
    <row r="495">
      <c r="A495" s="227"/>
      <c r="B495" s="227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</row>
    <row r="496">
      <c r="A496" s="227"/>
      <c r="B496" s="227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</row>
    <row r="497">
      <c r="A497" s="227"/>
      <c r="B497" s="227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</row>
    <row r="498">
      <c r="A498" s="227"/>
      <c r="B498" s="227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</row>
    <row r="499">
      <c r="A499" s="227"/>
      <c r="B499" s="227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</row>
    <row r="500">
      <c r="A500" s="227"/>
      <c r="B500" s="227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</row>
    <row r="501">
      <c r="A501" s="227"/>
      <c r="B501" s="227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</row>
    <row r="502">
      <c r="A502" s="227"/>
      <c r="B502" s="227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</row>
    <row r="503">
      <c r="A503" s="227"/>
      <c r="B503" s="227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</row>
    <row r="504">
      <c r="A504" s="227"/>
      <c r="B504" s="227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</row>
    <row r="505">
      <c r="A505" s="227"/>
      <c r="B505" s="227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</row>
    <row r="506">
      <c r="A506" s="227"/>
      <c r="B506" s="227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</row>
    <row r="507">
      <c r="A507" s="227"/>
      <c r="B507" s="227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</row>
    <row r="508">
      <c r="A508" s="227"/>
      <c r="B508" s="227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</row>
    <row r="509">
      <c r="A509" s="227"/>
      <c r="B509" s="227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</row>
    <row r="510">
      <c r="A510" s="227"/>
      <c r="B510" s="227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</row>
    <row r="511">
      <c r="A511" s="227"/>
      <c r="B511" s="227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</row>
    <row r="512">
      <c r="A512" s="227"/>
      <c r="B512" s="227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</row>
    <row r="513">
      <c r="A513" s="227"/>
      <c r="B513" s="227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</row>
    <row r="514">
      <c r="A514" s="227"/>
      <c r="B514" s="227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</row>
    <row r="515">
      <c r="A515" s="227"/>
      <c r="B515" s="227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</row>
    <row r="516">
      <c r="A516" s="227"/>
      <c r="B516" s="227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</row>
    <row r="517">
      <c r="A517" s="227"/>
      <c r="B517" s="227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</row>
    <row r="518">
      <c r="A518" s="227"/>
      <c r="B518" s="227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</row>
    <row r="519">
      <c r="A519" s="227"/>
      <c r="B519" s="227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</row>
    <row r="520">
      <c r="A520" s="227"/>
      <c r="B520" s="227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</row>
    <row r="521">
      <c r="A521" s="227"/>
      <c r="B521" s="227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</row>
    <row r="522">
      <c r="A522" s="227"/>
      <c r="B522" s="227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</row>
    <row r="523">
      <c r="A523" s="227"/>
      <c r="B523" s="227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</row>
    <row r="524">
      <c r="A524" s="227"/>
      <c r="B524" s="227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</row>
    <row r="525">
      <c r="A525" s="227"/>
      <c r="B525" s="227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</row>
    <row r="526">
      <c r="A526" s="227"/>
      <c r="B526" s="227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</row>
    <row r="527">
      <c r="A527" s="227"/>
      <c r="B527" s="227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</row>
    <row r="528">
      <c r="A528" s="227"/>
      <c r="B528" s="227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</row>
    <row r="529">
      <c r="A529" s="227"/>
      <c r="B529" s="227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</row>
    <row r="530">
      <c r="A530" s="227"/>
      <c r="B530" s="227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</row>
    <row r="531">
      <c r="A531" s="227"/>
      <c r="B531" s="227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</row>
    <row r="532">
      <c r="A532" s="227"/>
      <c r="B532" s="227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</row>
    <row r="533">
      <c r="A533" s="227"/>
      <c r="B533" s="227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</row>
    <row r="534">
      <c r="A534" s="227"/>
      <c r="B534" s="227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</row>
    <row r="535">
      <c r="A535" s="227"/>
      <c r="B535" s="227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</row>
    <row r="536">
      <c r="A536" s="227"/>
      <c r="B536" s="227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</row>
    <row r="537">
      <c r="A537" s="227"/>
      <c r="B537" s="227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</row>
    <row r="538">
      <c r="A538" s="227"/>
      <c r="B538" s="227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</row>
    <row r="539">
      <c r="A539" s="227"/>
      <c r="B539" s="227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</row>
    <row r="540">
      <c r="A540" s="227"/>
      <c r="B540" s="227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</row>
    <row r="541">
      <c r="A541" s="227"/>
      <c r="B541" s="227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</row>
    <row r="542">
      <c r="A542" s="227"/>
      <c r="B542" s="227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</row>
    <row r="543">
      <c r="A543" s="227"/>
      <c r="B543" s="227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</row>
    <row r="544">
      <c r="A544" s="227"/>
      <c r="B544" s="227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</row>
    <row r="545">
      <c r="A545" s="227"/>
      <c r="B545" s="227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</row>
    <row r="546">
      <c r="A546" s="227"/>
      <c r="B546" s="227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</row>
    <row r="547">
      <c r="A547" s="227"/>
      <c r="B547" s="227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</row>
    <row r="548">
      <c r="A548" s="227"/>
      <c r="B548" s="227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</row>
    <row r="549">
      <c r="A549" s="227"/>
      <c r="B549" s="227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</row>
    <row r="550">
      <c r="A550" s="227"/>
      <c r="B550" s="227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</row>
    <row r="551">
      <c r="A551" s="227"/>
      <c r="B551" s="227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</row>
    <row r="552">
      <c r="A552" s="227"/>
      <c r="B552" s="227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</row>
    <row r="553">
      <c r="A553" s="227"/>
      <c r="B553" s="227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</row>
    <row r="554">
      <c r="A554" s="227"/>
      <c r="B554" s="227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</row>
    <row r="555">
      <c r="A555" s="227"/>
      <c r="B555" s="227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</row>
    <row r="556">
      <c r="A556" s="227"/>
      <c r="B556" s="227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</row>
    <row r="557">
      <c r="A557" s="227"/>
      <c r="B557" s="227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</row>
    <row r="558">
      <c r="A558" s="227"/>
      <c r="B558" s="227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</row>
    <row r="559">
      <c r="A559" s="227"/>
      <c r="B559" s="227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</row>
    <row r="560">
      <c r="A560" s="227"/>
      <c r="B560" s="227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</row>
    <row r="561">
      <c r="A561" s="227"/>
      <c r="B561" s="227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</row>
    <row r="562">
      <c r="A562" s="227"/>
      <c r="B562" s="227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</row>
    <row r="563">
      <c r="A563" s="227"/>
      <c r="B563" s="227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</row>
    <row r="564">
      <c r="A564" s="227"/>
      <c r="B564" s="227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</row>
    <row r="565">
      <c r="A565" s="227"/>
      <c r="B565" s="227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</row>
    <row r="566">
      <c r="A566" s="227"/>
      <c r="B566" s="227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</row>
    <row r="567">
      <c r="A567" s="227"/>
      <c r="B567" s="227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</row>
    <row r="568">
      <c r="A568" s="227"/>
      <c r="B568" s="227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</row>
    <row r="569">
      <c r="A569" s="227"/>
      <c r="B569" s="227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</row>
    <row r="570">
      <c r="A570" s="227"/>
      <c r="B570" s="227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</row>
    <row r="571">
      <c r="A571" s="227"/>
      <c r="B571" s="227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</row>
    <row r="572">
      <c r="A572" s="227"/>
      <c r="B572" s="227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</row>
    <row r="573">
      <c r="A573" s="227"/>
      <c r="B573" s="227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</row>
    <row r="574">
      <c r="A574" s="227"/>
      <c r="B574" s="227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</row>
    <row r="575">
      <c r="A575" s="227"/>
      <c r="B575" s="227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</row>
    <row r="576">
      <c r="A576" s="227"/>
      <c r="B576" s="227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</row>
    <row r="577">
      <c r="A577" s="227"/>
      <c r="B577" s="227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</row>
    <row r="578">
      <c r="A578" s="227"/>
      <c r="B578" s="227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</row>
    <row r="579">
      <c r="A579" s="227"/>
      <c r="B579" s="227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</row>
    <row r="580">
      <c r="A580" s="227"/>
      <c r="B580" s="227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</row>
    <row r="581">
      <c r="A581" s="227"/>
      <c r="B581" s="227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</row>
    <row r="582">
      <c r="A582" s="227"/>
      <c r="B582" s="227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</row>
    <row r="583">
      <c r="A583" s="227"/>
      <c r="B583" s="227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</row>
    <row r="584">
      <c r="A584" s="227"/>
      <c r="B584" s="227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</row>
    <row r="585">
      <c r="A585" s="227"/>
      <c r="B585" s="227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</row>
    <row r="586">
      <c r="A586" s="227"/>
      <c r="B586" s="227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</row>
    <row r="587">
      <c r="A587" s="227"/>
      <c r="B587" s="227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</row>
    <row r="588">
      <c r="A588" s="227"/>
      <c r="B588" s="227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</row>
    <row r="589">
      <c r="A589" s="227"/>
      <c r="B589" s="227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</row>
    <row r="590">
      <c r="A590" s="227"/>
      <c r="B590" s="227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</row>
    <row r="591">
      <c r="A591" s="227"/>
      <c r="B591" s="227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</row>
    <row r="592">
      <c r="A592" s="227"/>
      <c r="B592" s="227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</row>
    <row r="593">
      <c r="A593" s="227"/>
      <c r="B593" s="227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</row>
    <row r="594">
      <c r="A594" s="227"/>
      <c r="B594" s="227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</row>
    <row r="595">
      <c r="A595" s="227"/>
      <c r="B595" s="227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</row>
    <row r="596">
      <c r="A596" s="227"/>
      <c r="B596" s="227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</row>
    <row r="597">
      <c r="A597" s="227"/>
      <c r="B597" s="227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</row>
    <row r="598">
      <c r="A598" s="227"/>
      <c r="B598" s="227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</row>
    <row r="599">
      <c r="A599" s="227"/>
      <c r="B599" s="227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</row>
    <row r="600">
      <c r="A600" s="227"/>
      <c r="B600" s="227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</row>
    <row r="601">
      <c r="A601" s="227"/>
      <c r="B601" s="227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</row>
    <row r="602">
      <c r="A602" s="227"/>
      <c r="B602" s="227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</row>
    <row r="603">
      <c r="A603" s="227"/>
      <c r="B603" s="227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</row>
    <row r="604">
      <c r="A604" s="227"/>
      <c r="B604" s="227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</row>
    <row r="605">
      <c r="A605" s="227"/>
      <c r="B605" s="227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</row>
    <row r="606">
      <c r="A606" s="227"/>
      <c r="B606" s="227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</row>
    <row r="607">
      <c r="A607" s="227"/>
      <c r="B607" s="227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</row>
    <row r="608">
      <c r="A608" s="227"/>
      <c r="B608" s="227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</row>
    <row r="609">
      <c r="A609" s="227"/>
      <c r="B609" s="227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</row>
    <row r="610">
      <c r="A610" s="227"/>
      <c r="B610" s="227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</row>
    <row r="611">
      <c r="A611" s="227"/>
      <c r="B611" s="227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</row>
    <row r="612">
      <c r="A612" s="227"/>
      <c r="B612" s="227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</row>
    <row r="613">
      <c r="A613" s="227"/>
      <c r="B613" s="227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</row>
    <row r="614">
      <c r="A614" s="227"/>
      <c r="B614" s="227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</row>
    <row r="615">
      <c r="A615" s="227"/>
      <c r="B615" s="227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</row>
    <row r="616">
      <c r="A616" s="227"/>
      <c r="B616" s="227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</row>
    <row r="617">
      <c r="A617" s="227"/>
      <c r="B617" s="227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</row>
    <row r="618">
      <c r="A618" s="227"/>
      <c r="B618" s="227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</row>
    <row r="619">
      <c r="A619" s="227"/>
      <c r="B619" s="227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</row>
    <row r="620">
      <c r="A620" s="227"/>
      <c r="B620" s="227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</row>
    <row r="621">
      <c r="A621" s="227"/>
      <c r="B621" s="227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</row>
    <row r="622">
      <c r="A622" s="227"/>
      <c r="B622" s="227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</row>
    <row r="623">
      <c r="A623" s="227"/>
      <c r="B623" s="227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</row>
    <row r="624">
      <c r="A624" s="227"/>
      <c r="B624" s="227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</row>
    <row r="625">
      <c r="A625" s="227"/>
      <c r="B625" s="227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</row>
    <row r="626">
      <c r="A626" s="227"/>
      <c r="B626" s="227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</row>
    <row r="627">
      <c r="A627" s="227"/>
      <c r="B627" s="227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</row>
    <row r="628">
      <c r="A628" s="227"/>
      <c r="B628" s="227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</row>
    <row r="629">
      <c r="A629" s="227"/>
      <c r="B629" s="227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</row>
    <row r="630">
      <c r="A630" s="227"/>
      <c r="B630" s="227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</row>
    <row r="631">
      <c r="A631" s="227"/>
      <c r="B631" s="227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</row>
    <row r="632">
      <c r="A632" s="227"/>
      <c r="B632" s="227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</row>
    <row r="633">
      <c r="A633" s="227"/>
      <c r="B633" s="227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</row>
    <row r="634">
      <c r="A634" s="227"/>
      <c r="B634" s="227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</row>
    <row r="635">
      <c r="A635" s="227"/>
      <c r="B635" s="227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</row>
    <row r="636">
      <c r="A636" s="227"/>
      <c r="B636" s="227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</row>
    <row r="637">
      <c r="A637" s="227"/>
      <c r="B637" s="227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</row>
    <row r="638">
      <c r="A638" s="227"/>
      <c r="B638" s="227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</row>
    <row r="639">
      <c r="A639" s="227"/>
      <c r="B639" s="227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</row>
    <row r="640">
      <c r="A640" s="227"/>
      <c r="B640" s="227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</row>
    <row r="641">
      <c r="A641" s="227"/>
      <c r="B641" s="227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</row>
    <row r="642">
      <c r="A642" s="227"/>
      <c r="B642" s="227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</row>
    <row r="643">
      <c r="A643" s="227"/>
      <c r="B643" s="227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</row>
    <row r="644">
      <c r="A644" s="227"/>
      <c r="B644" s="227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</row>
    <row r="645">
      <c r="A645" s="227"/>
      <c r="B645" s="227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</row>
    <row r="646">
      <c r="A646" s="227"/>
      <c r="B646" s="227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</row>
    <row r="647">
      <c r="A647" s="227"/>
      <c r="B647" s="227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</row>
    <row r="648">
      <c r="A648" s="227"/>
      <c r="B648" s="227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</row>
    <row r="649">
      <c r="A649" s="227"/>
      <c r="B649" s="227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</row>
    <row r="650">
      <c r="A650" s="227"/>
      <c r="B650" s="227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</row>
    <row r="651">
      <c r="A651" s="227"/>
      <c r="B651" s="227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</row>
    <row r="652">
      <c r="A652" s="227"/>
      <c r="B652" s="227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</row>
    <row r="653">
      <c r="A653" s="227"/>
      <c r="B653" s="227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</row>
    <row r="654">
      <c r="A654" s="227"/>
      <c r="B654" s="227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</row>
    <row r="655">
      <c r="A655" s="227"/>
      <c r="B655" s="227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</row>
    <row r="656">
      <c r="A656" s="227"/>
      <c r="B656" s="227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</row>
    <row r="657">
      <c r="A657" s="227"/>
      <c r="B657" s="227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</row>
    <row r="658">
      <c r="A658" s="227"/>
      <c r="B658" s="227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</row>
    <row r="659">
      <c r="A659" s="227"/>
      <c r="B659" s="227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</row>
    <row r="660">
      <c r="A660" s="227"/>
      <c r="B660" s="227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</row>
    <row r="661">
      <c r="A661" s="227"/>
      <c r="B661" s="227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</row>
    <row r="662">
      <c r="A662" s="227"/>
      <c r="B662" s="227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</row>
    <row r="663">
      <c r="A663" s="227"/>
      <c r="B663" s="227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</row>
    <row r="664">
      <c r="A664" s="227"/>
      <c r="B664" s="227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</row>
    <row r="665">
      <c r="A665" s="227"/>
      <c r="B665" s="227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</row>
    <row r="666">
      <c r="A666" s="227"/>
      <c r="B666" s="227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</row>
    <row r="667">
      <c r="A667" s="227"/>
      <c r="B667" s="227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</row>
    <row r="668">
      <c r="A668" s="227"/>
      <c r="B668" s="227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</row>
    <row r="669">
      <c r="A669" s="227"/>
      <c r="B669" s="227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</row>
    <row r="670">
      <c r="A670" s="227"/>
      <c r="B670" s="227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</row>
    <row r="671">
      <c r="A671" s="227"/>
      <c r="B671" s="227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</row>
    <row r="672">
      <c r="A672" s="227"/>
      <c r="B672" s="227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</row>
    <row r="673">
      <c r="A673" s="227"/>
      <c r="B673" s="227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</row>
    <row r="674">
      <c r="A674" s="227"/>
      <c r="B674" s="227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</row>
    <row r="675">
      <c r="A675" s="227"/>
      <c r="B675" s="227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</row>
    <row r="676">
      <c r="A676" s="227"/>
      <c r="B676" s="227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</row>
    <row r="677">
      <c r="A677" s="227"/>
      <c r="B677" s="227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</row>
    <row r="678">
      <c r="A678" s="227"/>
      <c r="B678" s="227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</row>
    <row r="679">
      <c r="A679" s="227"/>
      <c r="B679" s="227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</row>
    <row r="680">
      <c r="A680" s="227"/>
      <c r="B680" s="227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</row>
    <row r="681">
      <c r="A681" s="227"/>
      <c r="B681" s="227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</row>
    <row r="682">
      <c r="A682" s="227"/>
      <c r="B682" s="227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</row>
    <row r="683">
      <c r="A683" s="227"/>
      <c r="B683" s="227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</row>
    <row r="684">
      <c r="A684" s="227"/>
      <c r="B684" s="227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</row>
    <row r="685">
      <c r="A685" s="227"/>
      <c r="B685" s="227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</row>
    <row r="686">
      <c r="A686" s="227"/>
      <c r="B686" s="227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</row>
    <row r="687">
      <c r="A687" s="227"/>
      <c r="B687" s="227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</row>
    <row r="688">
      <c r="A688" s="227"/>
      <c r="B688" s="227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</row>
    <row r="689">
      <c r="A689" s="227"/>
      <c r="B689" s="227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</row>
    <row r="690">
      <c r="A690" s="227"/>
      <c r="B690" s="227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</row>
    <row r="691">
      <c r="A691" s="227"/>
      <c r="B691" s="227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</row>
    <row r="692">
      <c r="A692" s="227"/>
      <c r="B692" s="227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</row>
    <row r="693">
      <c r="A693" s="227"/>
      <c r="B693" s="227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</row>
    <row r="694">
      <c r="A694" s="227"/>
      <c r="B694" s="227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</row>
    <row r="695">
      <c r="A695" s="227"/>
      <c r="B695" s="227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</row>
    <row r="696">
      <c r="A696" s="227"/>
      <c r="B696" s="227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</row>
    <row r="697">
      <c r="A697" s="227"/>
      <c r="B697" s="227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</row>
    <row r="698">
      <c r="A698" s="227"/>
      <c r="B698" s="227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</row>
    <row r="699">
      <c r="A699" s="227"/>
      <c r="B699" s="227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</row>
    <row r="700">
      <c r="A700" s="227"/>
      <c r="B700" s="227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</row>
    <row r="701">
      <c r="A701" s="227"/>
      <c r="B701" s="227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</row>
    <row r="702">
      <c r="A702" s="227"/>
      <c r="B702" s="227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</row>
    <row r="703">
      <c r="A703" s="227"/>
      <c r="B703" s="227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</row>
    <row r="704">
      <c r="A704" s="227"/>
      <c r="B704" s="227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</row>
    <row r="705">
      <c r="A705" s="227"/>
      <c r="B705" s="227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</row>
    <row r="706">
      <c r="A706" s="227"/>
      <c r="B706" s="227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</row>
    <row r="707">
      <c r="A707" s="227"/>
      <c r="B707" s="227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</row>
    <row r="708">
      <c r="A708" s="227"/>
      <c r="B708" s="227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</row>
    <row r="709">
      <c r="A709" s="227"/>
      <c r="B709" s="227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</row>
    <row r="710">
      <c r="A710" s="227"/>
      <c r="B710" s="227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</row>
    <row r="711">
      <c r="A711" s="227"/>
      <c r="B711" s="227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</row>
    <row r="712">
      <c r="A712" s="227"/>
      <c r="B712" s="227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</row>
    <row r="713">
      <c r="A713" s="227"/>
      <c r="B713" s="227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</row>
    <row r="714">
      <c r="A714" s="227"/>
      <c r="B714" s="227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</row>
    <row r="715">
      <c r="A715" s="227"/>
      <c r="B715" s="227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</row>
    <row r="716">
      <c r="A716" s="227"/>
      <c r="B716" s="227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</row>
    <row r="717">
      <c r="A717" s="227"/>
      <c r="B717" s="227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</row>
    <row r="718">
      <c r="A718" s="227"/>
      <c r="B718" s="227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</row>
    <row r="719">
      <c r="A719" s="227"/>
      <c r="B719" s="227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</row>
    <row r="720">
      <c r="A720" s="227"/>
      <c r="B720" s="227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</row>
    <row r="721">
      <c r="A721" s="227"/>
      <c r="B721" s="227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</row>
    <row r="722">
      <c r="A722" s="227"/>
      <c r="B722" s="227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</row>
    <row r="723">
      <c r="A723" s="227"/>
      <c r="B723" s="227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</row>
    <row r="724">
      <c r="A724" s="227"/>
      <c r="B724" s="227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</row>
    <row r="725">
      <c r="A725" s="227"/>
      <c r="B725" s="227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</row>
    <row r="726">
      <c r="A726" s="227"/>
      <c r="B726" s="227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</row>
    <row r="727">
      <c r="A727" s="227"/>
      <c r="B727" s="227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</row>
    <row r="728">
      <c r="A728" s="227"/>
      <c r="B728" s="227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</row>
    <row r="729">
      <c r="A729" s="227"/>
      <c r="B729" s="227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</row>
    <row r="730">
      <c r="A730" s="227"/>
      <c r="B730" s="227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</row>
    <row r="731">
      <c r="A731" s="227"/>
      <c r="B731" s="227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</row>
    <row r="732">
      <c r="A732" s="227"/>
      <c r="B732" s="227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</row>
    <row r="733">
      <c r="A733" s="227"/>
      <c r="B733" s="227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</row>
    <row r="734">
      <c r="A734" s="227"/>
      <c r="B734" s="227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</row>
    <row r="735">
      <c r="A735" s="227"/>
      <c r="B735" s="227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</row>
    <row r="736">
      <c r="A736" s="227"/>
      <c r="B736" s="227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</row>
    <row r="737">
      <c r="A737" s="227"/>
      <c r="B737" s="227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</row>
    <row r="738">
      <c r="A738" s="227"/>
      <c r="B738" s="227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</row>
    <row r="739">
      <c r="A739" s="227"/>
      <c r="B739" s="227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</row>
    <row r="740">
      <c r="A740" s="227"/>
      <c r="B740" s="227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</row>
    <row r="741">
      <c r="A741" s="227"/>
      <c r="B741" s="227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</row>
    <row r="742">
      <c r="A742" s="227"/>
      <c r="B742" s="227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</row>
    <row r="743">
      <c r="A743" s="227"/>
      <c r="B743" s="227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</row>
    <row r="744">
      <c r="A744" s="227"/>
      <c r="B744" s="227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</row>
    <row r="745">
      <c r="A745" s="227"/>
      <c r="B745" s="227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</row>
    <row r="746">
      <c r="A746" s="227"/>
      <c r="B746" s="227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</row>
    <row r="747">
      <c r="A747" s="227"/>
      <c r="B747" s="227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</row>
    <row r="748">
      <c r="A748" s="227"/>
      <c r="B748" s="227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</row>
    <row r="749">
      <c r="A749" s="227"/>
      <c r="B749" s="227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</row>
    <row r="750">
      <c r="A750" s="227"/>
      <c r="B750" s="227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</row>
    <row r="751">
      <c r="A751" s="227"/>
      <c r="B751" s="227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</row>
    <row r="752">
      <c r="A752" s="227"/>
      <c r="B752" s="227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</row>
    <row r="753">
      <c r="A753" s="227"/>
      <c r="B753" s="227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</row>
    <row r="754">
      <c r="A754" s="227"/>
      <c r="B754" s="227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</row>
    <row r="755">
      <c r="A755" s="227"/>
      <c r="B755" s="227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</row>
    <row r="756">
      <c r="A756" s="227"/>
      <c r="B756" s="227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</row>
    <row r="757">
      <c r="A757" s="227"/>
      <c r="B757" s="227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</row>
    <row r="758">
      <c r="A758" s="227"/>
      <c r="B758" s="227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</row>
    <row r="759">
      <c r="A759" s="227"/>
      <c r="B759" s="227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</row>
    <row r="760">
      <c r="A760" s="227"/>
      <c r="B760" s="227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</row>
    <row r="761">
      <c r="A761" s="227"/>
      <c r="B761" s="227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</row>
    <row r="762">
      <c r="A762" s="227"/>
      <c r="B762" s="227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</row>
    <row r="763">
      <c r="A763" s="227"/>
      <c r="B763" s="227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</row>
    <row r="764">
      <c r="A764" s="227"/>
      <c r="B764" s="227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</row>
    <row r="765">
      <c r="A765" s="227"/>
      <c r="B765" s="227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</row>
    <row r="766">
      <c r="A766" s="227"/>
      <c r="B766" s="227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</row>
    <row r="767">
      <c r="A767" s="227"/>
      <c r="B767" s="227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</row>
    <row r="768">
      <c r="A768" s="227"/>
      <c r="B768" s="227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</row>
    <row r="769">
      <c r="A769" s="227"/>
      <c r="B769" s="227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</row>
    <row r="770">
      <c r="A770" s="227"/>
      <c r="B770" s="227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</row>
    <row r="771">
      <c r="A771" s="227"/>
      <c r="B771" s="227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</row>
    <row r="772">
      <c r="A772" s="227"/>
      <c r="B772" s="227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</row>
    <row r="773">
      <c r="A773" s="227"/>
      <c r="B773" s="227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</row>
    <row r="774">
      <c r="A774" s="227"/>
      <c r="B774" s="227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</row>
    <row r="775">
      <c r="A775" s="227"/>
      <c r="B775" s="227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</row>
    <row r="776">
      <c r="A776" s="227"/>
      <c r="B776" s="227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</row>
    <row r="777">
      <c r="A777" s="227"/>
      <c r="B777" s="227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</row>
    <row r="778">
      <c r="A778" s="227"/>
      <c r="B778" s="227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</row>
    <row r="779">
      <c r="A779" s="227"/>
      <c r="B779" s="227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</row>
    <row r="780">
      <c r="A780" s="227"/>
      <c r="B780" s="227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</row>
    <row r="781">
      <c r="A781" s="227"/>
      <c r="B781" s="227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</row>
    <row r="782">
      <c r="A782" s="227"/>
      <c r="B782" s="227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</row>
    <row r="783">
      <c r="A783" s="227"/>
      <c r="B783" s="227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</row>
    <row r="784">
      <c r="A784" s="227"/>
      <c r="B784" s="227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</row>
    <row r="785">
      <c r="A785" s="227"/>
      <c r="B785" s="227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</row>
    <row r="786">
      <c r="A786" s="227"/>
      <c r="B786" s="227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</row>
    <row r="787">
      <c r="A787" s="227"/>
      <c r="B787" s="227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</row>
    <row r="788">
      <c r="A788" s="227"/>
      <c r="B788" s="227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</row>
    <row r="789">
      <c r="A789" s="227"/>
      <c r="B789" s="227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</row>
    <row r="790">
      <c r="A790" s="227"/>
      <c r="B790" s="227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</row>
    <row r="791">
      <c r="A791" s="227"/>
      <c r="B791" s="227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</row>
    <row r="792">
      <c r="A792" s="227"/>
      <c r="B792" s="227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</row>
    <row r="793">
      <c r="A793" s="227"/>
      <c r="B793" s="227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</row>
    <row r="794">
      <c r="A794" s="227"/>
      <c r="B794" s="227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</row>
    <row r="795">
      <c r="A795" s="227"/>
      <c r="B795" s="227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</row>
    <row r="796">
      <c r="A796" s="227"/>
      <c r="B796" s="227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</row>
    <row r="797">
      <c r="A797" s="227"/>
      <c r="B797" s="227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</row>
    <row r="798">
      <c r="A798" s="227"/>
      <c r="B798" s="227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</row>
    <row r="799">
      <c r="A799" s="227"/>
      <c r="B799" s="227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</row>
    <row r="800">
      <c r="A800" s="227"/>
      <c r="B800" s="227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</row>
    <row r="801">
      <c r="A801" s="227"/>
      <c r="B801" s="227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</row>
    <row r="802">
      <c r="A802" s="227"/>
      <c r="B802" s="227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</row>
    <row r="803">
      <c r="A803" s="227"/>
      <c r="B803" s="227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</row>
    <row r="804">
      <c r="A804" s="227"/>
      <c r="B804" s="227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</row>
    <row r="805">
      <c r="A805" s="227"/>
      <c r="B805" s="227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</row>
    <row r="806">
      <c r="A806" s="227"/>
      <c r="B806" s="227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</row>
    <row r="807">
      <c r="A807" s="227"/>
      <c r="B807" s="227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</row>
    <row r="808">
      <c r="A808" s="227"/>
      <c r="B808" s="227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</row>
    <row r="809">
      <c r="A809" s="227"/>
      <c r="B809" s="227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</row>
    <row r="810">
      <c r="A810" s="227"/>
      <c r="B810" s="227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</row>
    <row r="811">
      <c r="A811" s="227"/>
      <c r="B811" s="227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</row>
    <row r="812">
      <c r="A812" s="227"/>
      <c r="B812" s="227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</row>
    <row r="813">
      <c r="A813" s="227"/>
      <c r="B813" s="227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</row>
    <row r="814">
      <c r="A814" s="227"/>
      <c r="B814" s="227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</row>
    <row r="815">
      <c r="A815" s="227"/>
      <c r="B815" s="227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</row>
    <row r="816">
      <c r="A816" s="227"/>
      <c r="B816" s="227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</row>
    <row r="817">
      <c r="A817" s="227"/>
      <c r="B817" s="227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</row>
    <row r="818">
      <c r="A818" s="227"/>
      <c r="B818" s="227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</row>
    <row r="819">
      <c r="A819" s="227"/>
      <c r="B819" s="227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</row>
    <row r="820">
      <c r="A820" s="227"/>
      <c r="B820" s="227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</row>
    <row r="821">
      <c r="A821" s="227"/>
      <c r="B821" s="227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</row>
    <row r="822">
      <c r="A822" s="227"/>
      <c r="B822" s="227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</row>
    <row r="823">
      <c r="A823" s="227"/>
      <c r="B823" s="227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</row>
    <row r="824">
      <c r="A824" s="227"/>
      <c r="B824" s="227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</row>
    <row r="825">
      <c r="A825" s="227"/>
      <c r="B825" s="227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</row>
    <row r="826">
      <c r="A826" s="227"/>
      <c r="B826" s="227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</row>
    <row r="827">
      <c r="A827" s="227"/>
      <c r="B827" s="227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</row>
    <row r="828">
      <c r="A828" s="227"/>
      <c r="B828" s="227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</row>
    <row r="829">
      <c r="A829" s="227"/>
      <c r="B829" s="227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</row>
    <row r="830">
      <c r="A830" s="227"/>
      <c r="B830" s="227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</row>
    <row r="831">
      <c r="A831" s="227"/>
      <c r="B831" s="227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</row>
    <row r="832">
      <c r="A832" s="227"/>
      <c r="B832" s="227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</row>
    <row r="833">
      <c r="A833" s="227"/>
      <c r="B833" s="227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</row>
    <row r="834">
      <c r="A834" s="227"/>
      <c r="B834" s="227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</row>
    <row r="835">
      <c r="A835" s="227"/>
      <c r="B835" s="227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</row>
    <row r="836">
      <c r="A836" s="227"/>
      <c r="B836" s="227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</row>
    <row r="837">
      <c r="A837" s="227"/>
      <c r="B837" s="227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</row>
    <row r="838">
      <c r="A838" s="227"/>
      <c r="B838" s="227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</row>
    <row r="839">
      <c r="A839" s="227"/>
      <c r="B839" s="227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</row>
    <row r="840">
      <c r="A840" s="227"/>
      <c r="B840" s="227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</row>
    <row r="841">
      <c r="A841" s="227"/>
      <c r="B841" s="227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</row>
    <row r="842">
      <c r="A842" s="227"/>
      <c r="B842" s="227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</row>
    <row r="843">
      <c r="A843" s="227"/>
      <c r="B843" s="227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</row>
    <row r="844">
      <c r="A844" s="227"/>
      <c r="B844" s="227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</row>
    <row r="845">
      <c r="A845" s="227"/>
      <c r="B845" s="227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</row>
    <row r="846">
      <c r="A846" s="227"/>
      <c r="B846" s="227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</row>
    <row r="847">
      <c r="A847" s="227"/>
      <c r="B847" s="227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</row>
    <row r="848">
      <c r="A848" s="227"/>
      <c r="B848" s="227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</row>
    <row r="849">
      <c r="A849" s="227"/>
      <c r="B849" s="227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</row>
    <row r="850">
      <c r="A850" s="227"/>
      <c r="B850" s="227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</row>
    <row r="851">
      <c r="A851" s="227"/>
      <c r="B851" s="227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</row>
    <row r="852">
      <c r="A852" s="227"/>
      <c r="B852" s="227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</row>
    <row r="853">
      <c r="A853" s="227"/>
      <c r="B853" s="227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</row>
    <row r="854">
      <c r="A854" s="227"/>
      <c r="B854" s="227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</row>
    <row r="855">
      <c r="A855" s="227"/>
      <c r="B855" s="227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</row>
    <row r="856">
      <c r="A856" s="227"/>
      <c r="B856" s="227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</row>
    <row r="857">
      <c r="A857" s="227"/>
      <c r="B857" s="227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</row>
    <row r="858">
      <c r="A858" s="227"/>
      <c r="B858" s="227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</row>
    <row r="859">
      <c r="A859" s="227"/>
      <c r="B859" s="227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</row>
    <row r="860">
      <c r="A860" s="227"/>
      <c r="B860" s="227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</row>
    <row r="861">
      <c r="A861" s="227"/>
      <c r="B861" s="227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</row>
    <row r="862">
      <c r="A862" s="227"/>
      <c r="B862" s="227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</row>
    <row r="863">
      <c r="A863" s="227"/>
      <c r="B863" s="227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</row>
    <row r="864">
      <c r="A864" s="227"/>
      <c r="B864" s="227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</row>
    <row r="865">
      <c r="A865" s="227"/>
      <c r="B865" s="227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</row>
    <row r="866">
      <c r="A866" s="227"/>
      <c r="B866" s="227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</row>
    <row r="867">
      <c r="A867" s="227"/>
      <c r="B867" s="227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</row>
    <row r="868">
      <c r="A868" s="227"/>
      <c r="B868" s="227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</row>
    <row r="869">
      <c r="A869" s="227"/>
      <c r="B869" s="227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</row>
    <row r="870">
      <c r="A870" s="227"/>
      <c r="B870" s="227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</row>
    <row r="871">
      <c r="A871" s="227"/>
      <c r="B871" s="227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</row>
    <row r="872">
      <c r="A872" s="227"/>
      <c r="B872" s="227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</row>
    <row r="873">
      <c r="A873" s="227"/>
      <c r="B873" s="227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</row>
    <row r="874">
      <c r="A874" s="227"/>
      <c r="B874" s="227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</row>
    <row r="875">
      <c r="A875" s="227"/>
      <c r="B875" s="227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</row>
    <row r="876">
      <c r="A876" s="227"/>
      <c r="B876" s="227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</row>
    <row r="877">
      <c r="A877" s="227"/>
      <c r="B877" s="227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</row>
    <row r="878">
      <c r="A878" s="227"/>
      <c r="B878" s="227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</row>
    <row r="879">
      <c r="A879" s="227"/>
      <c r="B879" s="227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</row>
    <row r="880">
      <c r="A880" s="227"/>
      <c r="B880" s="227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</row>
    <row r="881">
      <c r="A881" s="227"/>
      <c r="B881" s="227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</row>
    <row r="882">
      <c r="A882" s="227"/>
      <c r="B882" s="227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</row>
    <row r="883">
      <c r="A883" s="227"/>
      <c r="B883" s="227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</row>
    <row r="884">
      <c r="A884" s="227"/>
      <c r="B884" s="227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</row>
    <row r="885">
      <c r="A885" s="227"/>
      <c r="B885" s="227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</row>
    <row r="886">
      <c r="A886" s="227"/>
      <c r="B886" s="227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</row>
    <row r="887">
      <c r="A887" s="227"/>
      <c r="B887" s="227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</row>
    <row r="888">
      <c r="A888" s="227"/>
      <c r="B888" s="227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</row>
    <row r="889">
      <c r="A889" s="227"/>
      <c r="B889" s="227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</row>
    <row r="890">
      <c r="A890" s="227"/>
      <c r="B890" s="227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</row>
    <row r="891">
      <c r="A891" s="227"/>
      <c r="B891" s="227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</row>
    <row r="892">
      <c r="A892" s="227"/>
      <c r="B892" s="227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</row>
    <row r="893">
      <c r="A893" s="227"/>
      <c r="B893" s="227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</row>
    <row r="894">
      <c r="A894" s="227"/>
      <c r="B894" s="227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</row>
    <row r="895">
      <c r="A895" s="227"/>
      <c r="B895" s="227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</row>
    <row r="896">
      <c r="A896" s="227"/>
      <c r="B896" s="227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</row>
    <row r="897">
      <c r="A897" s="227"/>
      <c r="B897" s="227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</row>
    <row r="898">
      <c r="A898" s="227"/>
      <c r="B898" s="227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</row>
    <row r="899">
      <c r="A899" s="227"/>
      <c r="B899" s="227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</row>
    <row r="900">
      <c r="A900" s="227"/>
      <c r="B900" s="227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</row>
    <row r="901">
      <c r="A901" s="227"/>
      <c r="B901" s="227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</row>
    <row r="902">
      <c r="A902" s="227"/>
      <c r="B902" s="227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</row>
    <row r="903">
      <c r="A903" s="227"/>
      <c r="B903" s="227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</row>
    <row r="904">
      <c r="A904" s="227"/>
      <c r="B904" s="227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</row>
    <row r="905">
      <c r="A905" s="227"/>
      <c r="B905" s="227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</row>
    <row r="906">
      <c r="A906" s="227"/>
      <c r="B906" s="227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</row>
    <row r="907">
      <c r="A907" s="227"/>
      <c r="B907" s="227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</row>
    <row r="908">
      <c r="A908" s="227"/>
      <c r="B908" s="227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</row>
    <row r="909">
      <c r="A909" s="227"/>
      <c r="B909" s="227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</row>
    <row r="910">
      <c r="A910" s="227"/>
      <c r="B910" s="227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</row>
    <row r="911">
      <c r="A911" s="227"/>
      <c r="B911" s="227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</row>
    <row r="912">
      <c r="A912" s="227"/>
      <c r="B912" s="227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</row>
    <row r="913">
      <c r="A913" s="227"/>
      <c r="B913" s="227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</row>
    <row r="914">
      <c r="A914" s="227"/>
      <c r="B914" s="227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</row>
    <row r="915">
      <c r="A915" s="227"/>
      <c r="B915" s="227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</row>
    <row r="916">
      <c r="A916" s="227"/>
      <c r="B916" s="227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</row>
    <row r="917">
      <c r="A917" s="227"/>
      <c r="B917" s="227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</row>
    <row r="918">
      <c r="A918" s="227"/>
      <c r="B918" s="227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</row>
    <row r="919">
      <c r="A919" s="227"/>
      <c r="B919" s="227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</row>
    <row r="920">
      <c r="A920" s="227"/>
      <c r="B920" s="227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</row>
    <row r="921">
      <c r="A921" s="227"/>
      <c r="B921" s="227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</row>
    <row r="922">
      <c r="A922" s="227"/>
      <c r="B922" s="227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</row>
    <row r="923">
      <c r="A923" s="227"/>
      <c r="B923" s="227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</row>
    <row r="924">
      <c r="A924" s="227"/>
      <c r="B924" s="227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</row>
    <row r="925">
      <c r="A925" s="227"/>
      <c r="B925" s="227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</row>
    <row r="926">
      <c r="A926" s="227"/>
      <c r="B926" s="227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</row>
    <row r="927">
      <c r="A927" s="227"/>
      <c r="B927" s="227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</row>
    <row r="928">
      <c r="A928" s="227"/>
      <c r="B928" s="227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</row>
    <row r="929">
      <c r="A929" s="227"/>
      <c r="B929" s="227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</row>
    <row r="930">
      <c r="A930" s="227"/>
      <c r="B930" s="227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</row>
    <row r="931">
      <c r="A931" s="227"/>
      <c r="B931" s="227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</row>
    <row r="932">
      <c r="A932" s="227"/>
      <c r="B932" s="227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</row>
    <row r="933">
      <c r="A933" s="227"/>
      <c r="B933" s="227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</row>
    <row r="934">
      <c r="A934" s="227"/>
      <c r="B934" s="227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</row>
    <row r="935">
      <c r="A935" s="227"/>
      <c r="B935" s="227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</row>
    <row r="936">
      <c r="A936" s="227"/>
      <c r="B936" s="227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</row>
    <row r="937">
      <c r="A937" s="227"/>
      <c r="B937" s="227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</row>
    <row r="938">
      <c r="A938" s="227"/>
      <c r="B938" s="227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</row>
    <row r="939">
      <c r="A939" s="227"/>
      <c r="B939" s="227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</row>
    <row r="940">
      <c r="A940" s="227"/>
      <c r="B940" s="227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</row>
    <row r="941">
      <c r="A941" s="227"/>
      <c r="B941" s="227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</row>
    <row r="942">
      <c r="A942" s="227"/>
      <c r="B942" s="227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</row>
    <row r="943">
      <c r="A943" s="227"/>
      <c r="B943" s="227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</row>
    <row r="944">
      <c r="A944" s="227"/>
      <c r="B944" s="227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</row>
    <row r="945">
      <c r="A945" s="227"/>
      <c r="B945" s="227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</row>
    <row r="946">
      <c r="A946" s="227"/>
      <c r="B946" s="227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</row>
    <row r="947">
      <c r="A947" s="227"/>
      <c r="B947" s="227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</row>
    <row r="948">
      <c r="A948" s="227"/>
      <c r="B948" s="227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</row>
    <row r="949">
      <c r="A949" s="227"/>
      <c r="B949" s="227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</row>
    <row r="950">
      <c r="A950" s="227"/>
      <c r="B950" s="227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</row>
    <row r="951">
      <c r="A951" s="227"/>
      <c r="B951" s="227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</row>
    <row r="952">
      <c r="A952" s="227"/>
      <c r="B952" s="227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</row>
    <row r="953">
      <c r="A953" s="227"/>
      <c r="B953" s="227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</row>
    <row r="954">
      <c r="A954" s="227"/>
      <c r="B954" s="227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</row>
    <row r="955">
      <c r="A955" s="227"/>
      <c r="B955" s="227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</row>
    <row r="956">
      <c r="A956" s="227"/>
      <c r="B956" s="227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</row>
    <row r="957">
      <c r="A957" s="227"/>
      <c r="B957" s="227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</row>
    <row r="958">
      <c r="A958" s="227"/>
      <c r="B958" s="227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</row>
    <row r="959">
      <c r="A959" s="227"/>
      <c r="B959" s="227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</row>
    <row r="960">
      <c r="A960" s="227"/>
      <c r="B960" s="227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</row>
    <row r="961">
      <c r="A961" s="227"/>
      <c r="B961" s="227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</row>
    <row r="962">
      <c r="A962" s="227"/>
      <c r="B962" s="227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</row>
    <row r="963">
      <c r="A963" s="227"/>
      <c r="B963" s="227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</row>
    <row r="964">
      <c r="A964" s="227"/>
      <c r="B964" s="227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</row>
    <row r="965">
      <c r="A965" s="227"/>
      <c r="B965" s="227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</row>
    <row r="966">
      <c r="A966" s="227"/>
      <c r="B966" s="227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</row>
    <row r="967">
      <c r="A967" s="227"/>
      <c r="B967" s="227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</row>
    <row r="968">
      <c r="A968" s="227"/>
      <c r="B968" s="227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</row>
    <row r="969">
      <c r="A969" s="227"/>
      <c r="B969" s="227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</row>
    <row r="970">
      <c r="A970" s="227"/>
      <c r="B970" s="227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</row>
    <row r="971">
      <c r="A971" s="227"/>
      <c r="B971" s="227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</row>
    <row r="972">
      <c r="A972" s="227"/>
      <c r="B972" s="227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</row>
    <row r="973">
      <c r="A973" s="227"/>
      <c r="B973" s="227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</row>
    <row r="974">
      <c r="A974" s="227"/>
      <c r="B974" s="227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</row>
    <row r="975">
      <c r="A975" s="227"/>
      <c r="B975" s="227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</row>
    <row r="976">
      <c r="A976" s="227"/>
      <c r="B976" s="227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</row>
    <row r="977">
      <c r="A977" s="227"/>
      <c r="B977" s="227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</row>
    <row r="978">
      <c r="A978" s="227"/>
      <c r="B978" s="227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</row>
    <row r="979">
      <c r="A979" s="227"/>
      <c r="B979" s="227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</row>
    <row r="980">
      <c r="A980" s="227"/>
      <c r="B980" s="227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</row>
    <row r="981">
      <c r="A981" s="227"/>
      <c r="B981" s="227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</row>
    <row r="982">
      <c r="A982" s="227"/>
      <c r="B982" s="227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</row>
    <row r="983">
      <c r="A983" s="227"/>
      <c r="B983" s="227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</row>
    <row r="984">
      <c r="A984" s="227"/>
      <c r="B984" s="227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</row>
    <row r="985">
      <c r="A985" s="227"/>
      <c r="B985" s="227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</row>
    <row r="986">
      <c r="A986" s="227"/>
      <c r="B986" s="227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</row>
    <row r="987">
      <c r="A987" s="227"/>
      <c r="B987" s="227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</row>
    <row r="988">
      <c r="A988" s="227"/>
      <c r="B988" s="227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</row>
    <row r="989">
      <c r="A989" s="227"/>
      <c r="B989" s="227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</row>
    <row r="990">
      <c r="A990" s="227"/>
      <c r="B990" s="227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</row>
    <row r="991">
      <c r="A991" s="227"/>
      <c r="B991" s="227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</row>
    <row r="992">
      <c r="A992" s="227"/>
      <c r="B992" s="227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</row>
    <row r="993">
      <c r="A993" s="227"/>
      <c r="B993" s="227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</row>
    <row r="994">
      <c r="A994" s="227"/>
      <c r="B994" s="227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</row>
    <row r="995">
      <c r="A995" s="227"/>
      <c r="B995" s="227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</row>
    <row r="996">
      <c r="A996" s="227"/>
      <c r="B996" s="227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</row>
    <row r="997">
      <c r="A997" s="227"/>
      <c r="B997" s="227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</row>
    <row r="998">
      <c r="A998" s="227"/>
      <c r="B998" s="227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</row>
    <row r="999">
      <c r="A999" s="227"/>
      <c r="B999" s="227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</row>
    <row r="1000">
      <c r="A1000" s="227"/>
      <c r="B1000" s="227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</row>
    <row r="1001">
      <c r="A1001" s="227"/>
      <c r="B1001" s="227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  <c r="AB1001" s="4"/>
      <c r="AC1001" s="4"/>
      <c r="AD1001" s="4"/>
    </row>
    <row r="1002">
      <c r="A1002" s="227"/>
      <c r="B1002" s="227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  <c r="AB1002" s="4"/>
      <c r="AC1002" s="4"/>
      <c r="AD1002" s="4"/>
    </row>
    <row r="1003">
      <c r="A1003" s="227"/>
      <c r="B1003" s="227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  <c r="AB1003" s="4"/>
      <c r="AC1003" s="4"/>
      <c r="AD1003" s="4"/>
    </row>
    <row r="1004">
      <c r="A1004" s="227"/>
      <c r="B1004" s="227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  <c r="AB1004" s="4"/>
      <c r="AC1004" s="4"/>
      <c r="AD1004" s="4"/>
    </row>
    <row r="1005">
      <c r="A1005" s="227"/>
      <c r="B1005" s="227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  <c r="AB1005" s="4"/>
      <c r="AC1005" s="4"/>
      <c r="AD1005" s="4"/>
    </row>
    <row r="1006">
      <c r="A1006" s="227"/>
      <c r="B1006" s="227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  <c r="AB1006" s="4"/>
      <c r="AC1006" s="4"/>
      <c r="AD1006" s="4"/>
    </row>
    <row r="1007">
      <c r="A1007" s="227"/>
      <c r="B1007" s="227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  <c r="AB1007" s="4"/>
      <c r="AC1007" s="4"/>
      <c r="AD1007" s="4"/>
    </row>
    <row r="1008">
      <c r="A1008" s="227"/>
      <c r="B1008" s="227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  <c r="AB1008" s="4"/>
      <c r="AC1008" s="4"/>
      <c r="AD1008" s="4"/>
    </row>
    <row r="1009">
      <c r="A1009" s="227"/>
      <c r="B1009" s="227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  <c r="AB1009" s="4"/>
      <c r="AC1009" s="4"/>
      <c r="AD1009" s="4"/>
    </row>
    <row r="1010">
      <c r="A1010" s="227"/>
      <c r="B1010" s="227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  <c r="AB1010" s="4"/>
      <c r="AC1010" s="4"/>
      <c r="AD1010" s="4"/>
    </row>
    <row r="1011">
      <c r="A1011" s="227"/>
      <c r="B1011" s="227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  <c r="AB1011" s="4"/>
      <c r="AC1011" s="4"/>
      <c r="AD1011" s="4"/>
    </row>
    <row r="1012">
      <c r="A1012" s="227"/>
      <c r="B1012" s="227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  <c r="AB1012" s="4"/>
      <c r="AC1012" s="4"/>
      <c r="AD1012" s="4"/>
    </row>
    <row r="1013">
      <c r="A1013" s="227"/>
      <c r="B1013" s="227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  <c r="AB1013" s="4"/>
      <c r="AC1013" s="4"/>
      <c r="AD1013" s="4"/>
    </row>
    <row r="1014">
      <c r="A1014" s="227"/>
      <c r="B1014" s="227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  <c r="AB1014" s="4"/>
      <c r="AC1014" s="4"/>
      <c r="AD1014" s="4"/>
    </row>
    <row r="1015">
      <c r="A1015" s="227"/>
      <c r="B1015" s="227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  <c r="AB1015" s="4"/>
      <c r="AC1015" s="4"/>
      <c r="AD1015" s="4"/>
    </row>
    <row r="1016">
      <c r="A1016" s="227"/>
      <c r="B1016" s="227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  <c r="AB1016" s="4"/>
      <c r="AC1016" s="4"/>
      <c r="AD1016" s="4"/>
    </row>
    <row r="1017">
      <c r="A1017" s="227"/>
      <c r="B1017" s="227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  <c r="AB1017" s="4"/>
      <c r="AC1017" s="4"/>
      <c r="AD1017" s="4"/>
    </row>
    <row r="1018">
      <c r="A1018" s="227"/>
      <c r="B1018" s="227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  <c r="AB1018" s="4"/>
      <c r="AC1018" s="4"/>
      <c r="AD1018" s="4"/>
    </row>
    <row r="1019">
      <c r="A1019" s="227"/>
      <c r="B1019" s="227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  <c r="AB1019" s="4"/>
      <c r="AC1019" s="4"/>
      <c r="AD1019" s="4"/>
    </row>
    <row r="1020">
      <c r="A1020" s="227"/>
      <c r="B1020" s="227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  <c r="AB1020" s="4"/>
      <c r="AC1020" s="4"/>
      <c r="AD1020" s="4"/>
    </row>
    <row r="1021">
      <c r="A1021" s="227"/>
      <c r="B1021" s="227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  <c r="AB1021" s="4"/>
      <c r="AC1021" s="4"/>
      <c r="AD1021" s="4"/>
    </row>
    <row r="1022">
      <c r="A1022" s="227"/>
      <c r="B1022" s="227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  <c r="AB1022" s="4"/>
      <c r="AC1022" s="4"/>
      <c r="AD1022" s="4"/>
    </row>
    <row r="1023">
      <c r="A1023" s="227"/>
      <c r="B1023" s="227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  <c r="AB1023" s="4"/>
      <c r="AC1023" s="4"/>
      <c r="AD1023" s="4"/>
    </row>
    <row r="1024">
      <c r="A1024" s="227"/>
      <c r="B1024" s="227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  <c r="AB1024" s="4"/>
      <c r="AC1024" s="4"/>
      <c r="AD1024" s="4"/>
    </row>
    <row r="1025">
      <c r="A1025" s="227"/>
      <c r="B1025" s="227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  <c r="AB1025" s="4"/>
      <c r="AC1025" s="4"/>
      <c r="AD1025" s="4"/>
    </row>
    <row r="1026">
      <c r="A1026" s="227"/>
      <c r="B1026" s="227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  <c r="AB1026" s="4"/>
      <c r="AC1026" s="4"/>
      <c r="AD1026" s="4"/>
    </row>
    <row r="1027">
      <c r="A1027" s="227"/>
      <c r="B1027" s="227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  <c r="AB1027" s="4"/>
      <c r="AC1027" s="4"/>
      <c r="AD1027" s="4"/>
    </row>
    <row r="1028">
      <c r="A1028" s="227"/>
      <c r="B1028" s="227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  <c r="AB1028" s="4"/>
      <c r="AC1028" s="4"/>
      <c r="AD1028" s="4"/>
    </row>
    <row r="1029">
      <c r="A1029" s="227"/>
      <c r="B1029" s="227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  <c r="AB1029" s="4"/>
      <c r="AC1029" s="4"/>
      <c r="AD1029" s="4"/>
    </row>
    <row r="1030">
      <c r="A1030" s="227"/>
      <c r="B1030" s="227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  <c r="AB1030" s="4"/>
      <c r="AC1030" s="4"/>
      <c r="AD1030" s="4"/>
    </row>
    <row r="1031">
      <c r="A1031" s="227"/>
      <c r="B1031" s="227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  <c r="AB1031" s="4"/>
      <c r="AC1031" s="4"/>
      <c r="AD1031" s="4"/>
    </row>
    <row r="1032">
      <c r="A1032" s="227"/>
      <c r="B1032" s="227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  <c r="AB1032" s="4"/>
      <c r="AC1032" s="4"/>
      <c r="AD1032" s="4"/>
    </row>
    <row r="1033">
      <c r="A1033" s="227"/>
      <c r="B1033" s="227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  <c r="AB1033" s="4"/>
      <c r="AC1033" s="4"/>
      <c r="AD1033" s="4"/>
    </row>
    <row r="1034">
      <c r="A1034" s="227"/>
      <c r="B1034" s="227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  <c r="AB1034" s="4"/>
      <c r="AC1034" s="4"/>
      <c r="AD1034" s="4"/>
    </row>
    <row r="1035">
      <c r="A1035" s="227"/>
      <c r="B1035" s="227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  <c r="AB1035" s="4"/>
      <c r="AC1035" s="4"/>
      <c r="AD1035" s="4"/>
    </row>
    <row r="1036">
      <c r="A1036" s="227"/>
      <c r="B1036" s="227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  <c r="AB1036" s="4"/>
      <c r="AC1036" s="4"/>
      <c r="AD1036" s="4"/>
    </row>
    <row r="1037">
      <c r="A1037" s="227"/>
      <c r="B1037" s="227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  <c r="AB1037" s="4"/>
      <c r="AC1037" s="4"/>
      <c r="AD1037" s="4"/>
    </row>
    <row r="1038">
      <c r="A1038" s="227"/>
      <c r="B1038" s="227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  <c r="AB1038" s="4"/>
      <c r="AC1038" s="4"/>
      <c r="AD1038" s="4"/>
    </row>
    <row r="1039">
      <c r="A1039" s="227"/>
      <c r="B1039" s="227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  <c r="AB1039" s="4"/>
      <c r="AC1039" s="4"/>
      <c r="AD1039" s="4"/>
    </row>
    <row r="1040">
      <c r="A1040" s="227"/>
      <c r="B1040" s="227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  <c r="AB1040" s="4"/>
      <c r="AC1040" s="4"/>
      <c r="AD1040" s="4"/>
    </row>
    <row r="1041">
      <c r="A1041" s="227"/>
      <c r="B1041" s="227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  <c r="AB1041" s="4"/>
      <c r="AC1041" s="4"/>
      <c r="AD1041" s="4"/>
    </row>
    <row r="1042">
      <c r="A1042" s="227"/>
      <c r="B1042" s="227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  <c r="AB1042" s="4"/>
      <c r="AC1042" s="4"/>
      <c r="AD1042" s="4"/>
    </row>
    <row r="1043">
      <c r="A1043" s="227"/>
      <c r="B1043" s="227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  <c r="AB1043" s="4"/>
      <c r="AC1043" s="4"/>
      <c r="AD1043" s="4"/>
    </row>
    <row r="1044">
      <c r="A1044" s="227"/>
      <c r="B1044" s="227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  <c r="AB1044" s="4"/>
      <c r="AC1044" s="4"/>
      <c r="AD1044" s="4"/>
    </row>
    <row r="1045">
      <c r="A1045" s="227"/>
      <c r="B1045" s="227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  <c r="AB1045" s="4"/>
      <c r="AC1045" s="4"/>
      <c r="AD1045" s="4"/>
    </row>
    <row r="1046">
      <c r="A1046" s="227"/>
      <c r="B1046" s="227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  <c r="AB1046" s="4"/>
      <c r="AC1046" s="4"/>
      <c r="AD1046" s="4"/>
    </row>
    <row r="1047">
      <c r="A1047" s="227"/>
      <c r="B1047" s="227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  <c r="AB1047" s="4"/>
      <c r="AC1047" s="4"/>
      <c r="AD1047" s="4"/>
    </row>
    <row r="1048">
      <c r="A1048" s="227"/>
      <c r="B1048" s="227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  <c r="AB1048" s="4"/>
      <c r="AC1048" s="4"/>
      <c r="AD1048" s="4"/>
    </row>
    <row r="1049">
      <c r="A1049" s="227"/>
      <c r="B1049" s="227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  <c r="AB1049" s="4"/>
      <c r="AC1049" s="4"/>
      <c r="AD1049" s="4"/>
    </row>
    <row r="1050">
      <c r="A1050" s="227"/>
      <c r="B1050" s="227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  <c r="AB1050" s="4"/>
      <c r="AC1050" s="4"/>
      <c r="AD1050" s="4"/>
    </row>
    <row r="1051">
      <c r="A1051" s="227"/>
      <c r="B1051" s="227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  <c r="AB1051" s="4"/>
      <c r="AC1051" s="4"/>
      <c r="AD1051" s="4"/>
    </row>
    <row r="1052">
      <c r="A1052" s="227"/>
      <c r="B1052" s="227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  <c r="AB1052" s="4"/>
      <c r="AC1052" s="4"/>
      <c r="AD1052" s="4"/>
    </row>
    <row r="1053">
      <c r="A1053" s="227"/>
      <c r="B1053" s="227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  <c r="AB1053" s="4"/>
      <c r="AC1053" s="4"/>
      <c r="AD1053" s="4"/>
    </row>
    <row r="1054">
      <c r="A1054" s="227"/>
      <c r="B1054" s="227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  <c r="AB1054" s="4"/>
      <c r="AC1054" s="4"/>
      <c r="AD1054" s="4"/>
    </row>
    <row r="1055">
      <c r="A1055" s="227"/>
      <c r="B1055" s="227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  <c r="AB1055" s="4"/>
      <c r="AC1055" s="4"/>
      <c r="AD1055" s="4"/>
    </row>
    <row r="1056">
      <c r="A1056" s="227"/>
      <c r="B1056" s="227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  <c r="AB1056" s="4"/>
      <c r="AC1056" s="4"/>
      <c r="AD1056" s="4"/>
    </row>
    <row r="1057">
      <c r="A1057" s="227"/>
      <c r="B1057" s="227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  <c r="AB1057" s="4"/>
      <c r="AC1057" s="4"/>
      <c r="AD1057" s="4"/>
    </row>
    <row r="1058">
      <c r="A1058" s="227"/>
      <c r="B1058" s="227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  <c r="AB1058" s="4"/>
      <c r="AC1058" s="4"/>
      <c r="AD1058" s="4"/>
    </row>
    <row r="1059">
      <c r="A1059" s="227"/>
      <c r="B1059" s="227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  <c r="AB1059" s="4"/>
      <c r="AC1059" s="4"/>
      <c r="AD1059" s="4"/>
    </row>
    <row r="1060">
      <c r="A1060" s="227"/>
      <c r="B1060" s="227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  <c r="AB1060" s="4"/>
      <c r="AC1060" s="4"/>
      <c r="AD1060" s="4"/>
    </row>
    <row r="1061">
      <c r="A1061" s="227"/>
      <c r="B1061" s="227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  <c r="AB1061" s="4"/>
      <c r="AC1061" s="4"/>
      <c r="AD1061" s="4"/>
    </row>
    <row r="1062">
      <c r="A1062" s="227"/>
      <c r="B1062" s="227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  <c r="AB1062" s="4"/>
      <c r="AC1062" s="4"/>
      <c r="AD1062" s="4"/>
    </row>
    <row r="1063">
      <c r="A1063" s="227"/>
      <c r="B1063" s="227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  <c r="AB1063" s="4"/>
      <c r="AC1063" s="4"/>
      <c r="AD1063" s="4"/>
    </row>
    <row r="1064">
      <c r="A1064" s="227"/>
      <c r="B1064" s="227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  <c r="AB1064" s="4"/>
      <c r="AC1064" s="4"/>
      <c r="AD1064" s="4"/>
    </row>
    <row r="1065">
      <c r="A1065" s="227"/>
      <c r="B1065" s="227"/>
      <c r="C1065" s="4"/>
      <c r="D1065" s="4"/>
      <c r="E1065" s="4"/>
      <c r="F1065" s="4"/>
      <c r="G1065" s="4"/>
      <c r="H1065" s="4"/>
      <c r="I1065" s="4"/>
      <c r="J1065" s="4"/>
      <c r="K1065" s="4"/>
      <c r="L1065" s="4"/>
      <c r="M1065" s="4"/>
      <c r="N1065" s="4"/>
      <c r="O1065" s="4"/>
      <c r="P1065" s="4"/>
      <c r="Q1065" s="4"/>
      <c r="R1065" s="4"/>
      <c r="S1065" s="4"/>
      <c r="T1065" s="4"/>
      <c r="U1065" s="4"/>
      <c r="V1065" s="4"/>
      <c r="W1065" s="4"/>
      <c r="X1065" s="4"/>
      <c r="Y1065" s="4"/>
      <c r="Z1065" s="4"/>
      <c r="AA1065" s="4"/>
      <c r="AB1065" s="4"/>
      <c r="AC1065" s="4"/>
      <c r="AD1065" s="4"/>
    </row>
    <row r="1066">
      <c r="A1066" s="227"/>
      <c r="B1066" s="227"/>
      <c r="C1066" s="4"/>
      <c r="D1066" s="4"/>
      <c r="E1066" s="4"/>
      <c r="F1066" s="4"/>
      <c r="G1066" s="4"/>
      <c r="H1066" s="4"/>
      <c r="I1066" s="4"/>
      <c r="J1066" s="4"/>
      <c r="K1066" s="4"/>
      <c r="L1066" s="4"/>
      <c r="M1066" s="4"/>
      <c r="N1066" s="4"/>
      <c r="O1066" s="4"/>
      <c r="P1066" s="4"/>
      <c r="Q1066" s="4"/>
      <c r="R1066" s="4"/>
      <c r="S1066" s="4"/>
      <c r="T1066" s="4"/>
      <c r="U1066" s="4"/>
      <c r="V1066" s="4"/>
      <c r="W1066" s="4"/>
      <c r="X1066" s="4"/>
      <c r="Y1066" s="4"/>
      <c r="Z1066" s="4"/>
      <c r="AA1066" s="4"/>
      <c r="AB1066" s="4"/>
      <c r="AC1066" s="4"/>
      <c r="AD1066" s="4"/>
    </row>
    <row r="1067">
      <c r="A1067" s="227"/>
      <c r="B1067" s="227"/>
      <c r="C1067" s="4"/>
      <c r="D1067" s="4"/>
      <c r="E1067" s="4"/>
      <c r="F1067" s="4"/>
      <c r="G1067" s="4"/>
      <c r="H1067" s="4"/>
      <c r="I1067" s="4"/>
      <c r="J1067" s="4"/>
      <c r="K1067" s="4"/>
      <c r="L1067" s="4"/>
      <c r="M1067" s="4"/>
      <c r="N1067" s="4"/>
      <c r="O1067" s="4"/>
      <c r="P1067" s="4"/>
      <c r="Q1067" s="4"/>
      <c r="R1067" s="4"/>
      <c r="S1067" s="4"/>
      <c r="T1067" s="4"/>
      <c r="U1067" s="4"/>
      <c r="V1067" s="4"/>
      <c r="W1067" s="4"/>
      <c r="X1067" s="4"/>
      <c r="Y1067" s="4"/>
      <c r="Z1067" s="4"/>
      <c r="AA1067" s="4"/>
      <c r="AB1067" s="4"/>
      <c r="AC1067" s="4"/>
      <c r="AD1067" s="4"/>
    </row>
    <row r="1068">
      <c r="A1068" s="227"/>
      <c r="B1068" s="227"/>
      <c r="C1068" s="4"/>
      <c r="D1068" s="4"/>
      <c r="E1068" s="4"/>
      <c r="F1068" s="4"/>
      <c r="G1068" s="4"/>
      <c r="H1068" s="4"/>
      <c r="I1068" s="4"/>
      <c r="J1068" s="4"/>
      <c r="K1068" s="4"/>
      <c r="L1068" s="4"/>
      <c r="M1068" s="4"/>
      <c r="N1068" s="4"/>
      <c r="O1068" s="4"/>
      <c r="P1068" s="4"/>
      <c r="Q1068" s="4"/>
      <c r="R1068" s="4"/>
      <c r="S1068" s="4"/>
      <c r="T1068" s="4"/>
      <c r="U1068" s="4"/>
      <c r="V1068" s="4"/>
      <c r="W1068" s="4"/>
      <c r="X1068" s="4"/>
      <c r="Y1068" s="4"/>
      <c r="Z1068" s="4"/>
      <c r="AA1068" s="4"/>
      <c r="AB1068" s="4"/>
      <c r="AC1068" s="4"/>
      <c r="AD1068" s="4"/>
    </row>
    <row r="1069">
      <c r="A1069" s="227"/>
      <c r="B1069" s="227"/>
      <c r="C1069" s="4"/>
      <c r="D1069" s="4"/>
      <c r="E1069" s="4"/>
      <c r="F1069" s="4"/>
      <c r="G1069" s="4"/>
      <c r="H1069" s="4"/>
      <c r="I1069" s="4"/>
      <c r="J1069" s="4"/>
      <c r="K1069" s="4"/>
      <c r="L1069" s="4"/>
      <c r="M1069" s="4"/>
      <c r="N1069" s="4"/>
      <c r="O1069" s="4"/>
      <c r="P1069" s="4"/>
      <c r="Q1069" s="4"/>
      <c r="R1069" s="4"/>
      <c r="S1069" s="4"/>
      <c r="T1069" s="4"/>
      <c r="U1069" s="4"/>
      <c r="V1069" s="4"/>
      <c r="W1069" s="4"/>
      <c r="X1069" s="4"/>
      <c r="Y1069" s="4"/>
      <c r="Z1069" s="4"/>
      <c r="AA1069" s="4"/>
      <c r="AB1069" s="4"/>
      <c r="AC1069" s="4"/>
      <c r="AD1069" s="4"/>
    </row>
    <row r="1070">
      <c r="A1070" s="227"/>
      <c r="B1070" s="227"/>
      <c r="C1070" s="4"/>
      <c r="D1070" s="4"/>
      <c r="E1070" s="4"/>
      <c r="F1070" s="4"/>
      <c r="G1070" s="4"/>
      <c r="H1070" s="4"/>
      <c r="I1070" s="4"/>
      <c r="J1070" s="4"/>
      <c r="K1070" s="4"/>
      <c r="L1070" s="4"/>
      <c r="M1070" s="4"/>
      <c r="N1070" s="4"/>
      <c r="O1070" s="4"/>
      <c r="P1070" s="4"/>
      <c r="Q1070" s="4"/>
      <c r="R1070" s="4"/>
      <c r="S1070" s="4"/>
      <c r="T1070" s="4"/>
      <c r="U1070" s="4"/>
      <c r="V1070" s="4"/>
      <c r="W1070" s="4"/>
      <c r="X1070" s="4"/>
      <c r="Y1070" s="4"/>
      <c r="Z1070" s="4"/>
      <c r="AA1070" s="4"/>
      <c r="AB1070" s="4"/>
      <c r="AC1070" s="4"/>
      <c r="AD1070" s="4"/>
    </row>
    <row r="1071">
      <c r="A1071" s="227"/>
      <c r="B1071" s="227"/>
      <c r="C1071" s="4"/>
      <c r="D1071" s="4"/>
      <c r="E1071" s="4"/>
      <c r="F1071" s="4"/>
      <c r="G1071" s="4"/>
      <c r="H1071" s="4"/>
      <c r="I1071" s="4"/>
      <c r="J1071" s="4"/>
      <c r="K1071" s="4"/>
      <c r="L1071" s="4"/>
      <c r="M1071" s="4"/>
      <c r="N1071" s="4"/>
      <c r="O1071" s="4"/>
      <c r="P1071" s="4"/>
      <c r="Q1071" s="4"/>
      <c r="R1071" s="4"/>
      <c r="S1071" s="4"/>
      <c r="T1071" s="4"/>
      <c r="U1071" s="4"/>
      <c r="V1071" s="4"/>
      <c r="W1071" s="4"/>
      <c r="X1071" s="4"/>
      <c r="Y1071" s="4"/>
      <c r="Z1071" s="4"/>
      <c r="AA1071" s="4"/>
      <c r="AB1071" s="4"/>
      <c r="AC1071" s="4"/>
      <c r="AD1071" s="4"/>
    </row>
    <row r="1072">
      <c r="A1072" s="227"/>
      <c r="B1072" s="227"/>
      <c r="C1072" s="4"/>
      <c r="D1072" s="4"/>
      <c r="E1072" s="4"/>
      <c r="F1072" s="4"/>
      <c r="G1072" s="4"/>
      <c r="H1072" s="4"/>
      <c r="I1072" s="4"/>
      <c r="J1072" s="4"/>
      <c r="K1072" s="4"/>
      <c r="L1072" s="4"/>
      <c r="M1072" s="4"/>
      <c r="N1072" s="4"/>
      <c r="O1072" s="4"/>
      <c r="P1072" s="4"/>
      <c r="Q1072" s="4"/>
      <c r="R1072" s="4"/>
      <c r="S1072" s="4"/>
      <c r="T1072" s="4"/>
      <c r="U1072" s="4"/>
      <c r="V1072" s="4"/>
      <c r="W1072" s="4"/>
      <c r="X1072" s="4"/>
      <c r="Y1072" s="4"/>
      <c r="Z1072" s="4"/>
      <c r="AA1072" s="4"/>
      <c r="AB1072" s="4"/>
      <c r="AC1072" s="4"/>
      <c r="AD1072" s="4"/>
    </row>
    <row r="1073">
      <c r="A1073" s="227"/>
      <c r="B1073" s="227"/>
      <c r="C1073" s="4"/>
      <c r="D1073" s="4"/>
      <c r="E1073" s="4"/>
      <c r="F1073" s="4"/>
      <c r="G1073" s="4"/>
      <c r="H1073" s="4"/>
      <c r="I1073" s="4"/>
      <c r="J1073" s="4"/>
      <c r="K1073" s="4"/>
      <c r="L1073" s="4"/>
      <c r="M1073" s="4"/>
      <c r="N1073" s="4"/>
      <c r="O1073" s="4"/>
      <c r="P1073" s="4"/>
      <c r="Q1073" s="4"/>
      <c r="R1073" s="4"/>
      <c r="S1073" s="4"/>
      <c r="T1073" s="4"/>
      <c r="U1073" s="4"/>
      <c r="V1073" s="4"/>
      <c r="W1073" s="4"/>
      <c r="X1073" s="4"/>
      <c r="Y1073" s="4"/>
      <c r="Z1073" s="4"/>
      <c r="AA1073" s="4"/>
      <c r="AB1073" s="4"/>
      <c r="AC1073" s="4"/>
      <c r="AD1073" s="4"/>
    </row>
    <row r="1074">
      <c r="A1074" s="227"/>
      <c r="B1074" s="227"/>
      <c r="C1074" s="4"/>
      <c r="D1074" s="4"/>
      <c r="E1074" s="4"/>
      <c r="F1074" s="4"/>
      <c r="G1074" s="4"/>
      <c r="H1074" s="4"/>
      <c r="I1074" s="4"/>
      <c r="J1074" s="4"/>
      <c r="K1074" s="4"/>
      <c r="L1074" s="4"/>
      <c r="M1074" s="4"/>
      <c r="N1074" s="4"/>
      <c r="O1074" s="4"/>
      <c r="P1074" s="4"/>
      <c r="Q1074" s="4"/>
      <c r="R1074" s="4"/>
      <c r="S1074" s="4"/>
      <c r="T1074" s="4"/>
      <c r="U1074" s="4"/>
      <c r="V1074" s="4"/>
      <c r="W1074" s="4"/>
      <c r="X1074" s="4"/>
      <c r="Y1074" s="4"/>
      <c r="Z1074" s="4"/>
      <c r="AA1074" s="4"/>
      <c r="AB1074" s="4"/>
      <c r="AC1074" s="4"/>
      <c r="AD1074" s="4"/>
    </row>
    <row r="1075">
      <c r="A1075" s="227"/>
      <c r="B1075" s="227"/>
      <c r="C1075" s="4"/>
      <c r="D1075" s="4"/>
      <c r="E1075" s="4"/>
      <c r="F1075" s="4"/>
      <c r="G1075" s="4"/>
      <c r="H1075" s="4"/>
      <c r="I1075" s="4"/>
      <c r="J1075" s="4"/>
      <c r="K1075" s="4"/>
      <c r="L1075" s="4"/>
      <c r="M1075" s="4"/>
      <c r="N1075" s="4"/>
      <c r="O1075" s="4"/>
      <c r="P1075" s="4"/>
      <c r="Q1075" s="4"/>
      <c r="R1075" s="4"/>
      <c r="S1075" s="4"/>
      <c r="T1075" s="4"/>
      <c r="U1075" s="4"/>
      <c r="V1075" s="4"/>
      <c r="W1075" s="4"/>
      <c r="X1075" s="4"/>
      <c r="Y1075" s="4"/>
      <c r="Z1075" s="4"/>
      <c r="AA1075" s="4"/>
      <c r="AB1075" s="4"/>
      <c r="AC1075" s="4"/>
      <c r="AD1075" s="4"/>
    </row>
    <row r="1076">
      <c r="A1076" s="227"/>
      <c r="B1076" s="227"/>
      <c r="C1076" s="4"/>
      <c r="D1076" s="4"/>
      <c r="E1076" s="4"/>
      <c r="F1076" s="4"/>
      <c r="G1076" s="4"/>
      <c r="H1076" s="4"/>
      <c r="I1076" s="4"/>
      <c r="J1076" s="4"/>
      <c r="K1076" s="4"/>
      <c r="L1076" s="4"/>
      <c r="M1076" s="4"/>
      <c r="N1076" s="4"/>
      <c r="O1076" s="4"/>
      <c r="P1076" s="4"/>
      <c r="Q1076" s="4"/>
      <c r="R1076" s="4"/>
      <c r="S1076" s="4"/>
      <c r="T1076" s="4"/>
      <c r="U1076" s="4"/>
      <c r="V1076" s="4"/>
      <c r="W1076" s="4"/>
      <c r="X1076" s="4"/>
      <c r="Y1076" s="4"/>
      <c r="Z1076" s="4"/>
      <c r="AA1076" s="4"/>
      <c r="AB1076" s="4"/>
      <c r="AC1076" s="4"/>
      <c r="AD1076" s="4"/>
    </row>
    <row r="1077">
      <c r="A1077" s="227"/>
      <c r="B1077" s="227"/>
      <c r="C1077" s="4"/>
      <c r="D1077" s="4"/>
      <c r="E1077" s="4"/>
      <c r="F1077" s="4"/>
      <c r="G1077" s="4"/>
      <c r="H1077" s="4"/>
      <c r="I1077" s="4"/>
      <c r="J1077" s="4"/>
      <c r="K1077" s="4"/>
      <c r="L1077" s="4"/>
      <c r="M1077" s="4"/>
      <c r="N1077" s="4"/>
      <c r="O1077" s="4"/>
      <c r="P1077" s="4"/>
      <c r="Q1077" s="4"/>
      <c r="R1077" s="4"/>
      <c r="S1077" s="4"/>
      <c r="T1077" s="4"/>
      <c r="U1077" s="4"/>
      <c r="V1077" s="4"/>
      <c r="W1077" s="4"/>
      <c r="X1077" s="4"/>
      <c r="Y1077" s="4"/>
      <c r="Z1077" s="4"/>
      <c r="AA1077" s="4"/>
      <c r="AB1077" s="4"/>
      <c r="AC1077" s="4"/>
      <c r="AD1077" s="4"/>
    </row>
    <row r="1078">
      <c r="A1078" s="227"/>
      <c r="B1078" s="227"/>
      <c r="C1078" s="4"/>
      <c r="D1078" s="4"/>
      <c r="E1078" s="4"/>
      <c r="F1078" s="4"/>
      <c r="G1078" s="4"/>
      <c r="H1078" s="4"/>
      <c r="I1078" s="4"/>
      <c r="J1078" s="4"/>
      <c r="K1078" s="4"/>
      <c r="L1078" s="4"/>
      <c r="M1078" s="4"/>
      <c r="N1078" s="4"/>
      <c r="O1078" s="4"/>
      <c r="P1078" s="4"/>
      <c r="Q1078" s="4"/>
      <c r="R1078" s="4"/>
      <c r="S1078" s="4"/>
      <c r="T1078" s="4"/>
      <c r="U1078" s="4"/>
      <c r="V1078" s="4"/>
      <c r="W1078" s="4"/>
      <c r="X1078" s="4"/>
      <c r="Y1078" s="4"/>
      <c r="Z1078" s="4"/>
      <c r="AA1078" s="4"/>
      <c r="AB1078" s="4"/>
      <c r="AC1078" s="4"/>
      <c r="AD1078" s="4"/>
    </row>
    <row r="1079">
      <c r="A1079" s="227"/>
      <c r="B1079" s="227"/>
      <c r="C1079" s="4"/>
      <c r="D1079" s="4"/>
      <c r="E1079" s="4"/>
      <c r="F1079" s="4"/>
      <c r="G1079" s="4"/>
      <c r="H1079" s="4"/>
      <c r="I1079" s="4"/>
      <c r="J1079" s="4"/>
      <c r="K1079" s="4"/>
      <c r="L1079" s="4"/>
      <c r="M1079" s="4"/>
      <c r="N1079" s="4"/>
      <c r="O1079" s="4"/>
      <c r="P1079" s="4"/>
      <c r="Q1079" s="4"/>
      <c r="R1079" s="4"/>
      <c r="S1079" s="4"/>
      <c r="T1079" s="4"/>
      <c r="U1079" s="4"/>
      <c r="V1079" s="4"/>
      <c r="W1079" s="4"/>
      <c r="X1079" s="4"/>
      <c r="Y1079" s="4"/>
      <c r="Z1079" s="4"/>
      <c r="AA1079" s="4"/>
      <c r="AB1079" s="4"/>
      <c r="AC1079" s="4"/>
      <c r="AD1079" s="4"/>
    </row>
    <row r="1080">
      <c r="A1080" s="227"/>
      <c r="B1080" s="227"/>
      <c r="C1080" s="4"/>
      <c r="D1080" s="4"/>
      <c r="E1080" s="4"/>
      <c r="F1080" s="4"/>
      <c r="G1080" s="4"/>
      <c r="H1080" s="4"/>
      <c r="I1080" s="4"/>
      <c r="J1080" s="4"/>
      <c r="K1080" s="4"/>
      <c r="L1080" s="4"/>
      <c r="M1080" s="4"/>
      <c r="N1080" s="4"/>
      <c r="O1080" s="4"/>
      <c r="P1080" s="4"/>
      <c r="Q1080" s="4"/>
      <c r="R1080" s="4"/>
      <c r="S1080" s="4"/>
      <c r="T1080" s="4"/>
      <c r="U1080" s="4"/>
      <c r="V1080" s="4"/>
      <c r="W1080" s="4"/>
      <c r="X1080" s="4"/>
      <c r="Y1080" s="4"/>
      <c r="Z1080" s="4"/>
      <c r="AA1080" s="4"/>
      <c r="AB1080" s="4"/>
      <c r="AC1080" s="4"/>
      <c r="AD1080" s="4"/>
    </row>
    <row r="1081">
      <c r="A1081" s="227"/>
      <c r="B1081" s="227"/>
      <c r="C1081" s="4"/>
      <c r="D1081" s="4"/>
      <c r="E1081" s="4"/>
      <c r="F1081" s="4"/>
      <c r="G1081" s="4"/>
      <c r="H1081" s="4"/>
      <c r="I1081" s="4"/>
      <c r="J1081" s="4"/>
      <c r="K1081" s="4"/>
      <c r="L1081" s="4"/>
      <c r="M1081" s="4"/>
      <c r="N1081" s="4"/>
      <c r="O1081" s="4"/>
      <c r="P1081" s="4"/>
      <c r="Q1081" s="4"/>
      <c r="R1081" s="4"/>
      <c r="S1081" s="4"/>
      <c r="T1081" s="4"/>
      <c r="U1081" s="4"/>
      <c r="V1081" s="4"/>
      <c r="W1081" s="4"/>
      <c r="X1081" s="4"/>
      <c r="Y1081" s="4"/>
      <c r="Z1081" s="4"/>
      <c r="AA1081" s="4"/>
      <c r="AB1081" s="4"/>
      <c r="AC1081" s="4"/>
      <c r="AD1081" s="4"/>
    </row>
    <row r="1082">
      <c r="A1082" s="227"/>
      <c r="B1082" s="227"/>
      <c r="C1082" s="4"/>
      <c r="D1082" s="4"/>
      <c r="E1082" s="4"/>
      <c r="F1082" s="4"/>
      <c r="G1082" s="4"/>
      <c r="H1082" s="4"/>
      <c r="I1082" s="4"/>
      <c r="J1082" s="4"/>
      <c r="K1082" s="4"/>
      <c r="L1082" s="4"/>
      <c r="M1082" s="4"/>
      <c r="N1082" s="4"/>
      <c r="O1082" s="4"/>
      <c r="P1082" s="4"/>
      <c r="Q1082" s="4"/>
      <c r="R1082" s="4"/>
      <c r="S1082" s="4"/>
      <c r="T1082" s="4"/>
      <c r="U1082" s="4"/>
      <c r="V1082" s="4"/>
      <c r="W1082" s="4"/>
      <c r="X1082" s="4"/>
      <c r="Y1082" s="4"/>
      <c r="Z1082" s="4"/>
      <c r="AA1082" s="4"/>
      <c r="AB1082" s="4"/>
      <c r="AC1082" s="4"/>
      <c r="AD1082" s="4"/>
    </row>
    <row r="1083">
      <c r="A1083" s="227"/>
      <c r="B1083" s="227"/>
      <c r="C1083" s="4"/>
      <c r="D1083" s="4"/>
      <c r="E1083" s="4"/>
      <c r="F1083" s="4"/>
      <c r="G1083" s="4"/>
      <c r="H1083" s="4"/>
      <c r="I1083" s="4"/>
      <c r="J1083" s="4"/>
      <c r="K1083" s="4"/>
      <c r="L1083" s="4"/>
      <c r="M1083" s="4"/>
      <c r="N1083" s="4"/>
      <c r="O1083" s="4"/>
      <c r="P1083" s="4"/>
      <c r="Q1083" s="4"/>
      <c r="R1083" s="4"/>
      <c r="S1083" s="4"/>
      <c r="T1083" s="4"/>
      <c r="U1083" s="4"/>
      <c r="V1083" s="4"/>
      <c r="W1083" s="4"/>
      <c r="X1083" s="4"/>
      <c r="Y1083" s="4"/>
      <c r="Z1083" s="4"/>
      <c r="AA1083" s="4"/>
      <c r="AB1083" s="4"/>
      <c r="AC1083" s="4"/>
      <c r="AD1083" s="4"/>
    </row>
    <row r="1084">
      <c r="A1084" s="227"/>
      <c r="B1084" s="227"/>
      <c r="C1084" s="4"/>
      <c r="D1084" s="4"/>
      <c r="E1084" s="4"/>
      <c r="F1084" s="4"/>
      <c r="G1084" s="4"/>
      <c r="H1084" s="4"/>
      <c r="I1084" s="4"/>
      <c r="J1084" s="4"/>
      <c r="K1084" s="4"/>
      <c r="L1084" s="4"/>
      <c r="M1084" s="4"/>
      <c r="N1084" s="4"/>
      <c r="O1084" s="4"/>
      <c r="P1084" s="4"/>
      <c r="Q1084" s="4"/>
      <c r="R1084" s="4"/>
      <c r="S1084" s="4"/>
      <c r="T1084" s="4"/>
      <c r="U1084" s="4"/>
      <c r="V1084" s="4"/>
      <c r="W1084" s="4"/>
      <c r="X1084" s="4"/>
      <c r="Y1084" s="4"/>
      <c r="Z1084" s="4"/>
      <c r="AA1084" s="4"/>
      <c r="AB1084" s="4"/>
      <c r="AC1084" s="4"/>
      <c r="AD1084" s="4"/>
    </row>
  </sheetData>
  <mergeCells count="29">
    <mergeCell ref="A1:AA2"/>
    <mergeCell ref="A4:A11"/>
    <mergeCell ref="B4:B11"/>
    <mergeCell ref="A12:A15"/>
    <mergeCell ref="B12:B15"/>
    <mergeCell ref="A16:A23"/>
    <mergeCell ref="B16:B23"/>
    <mergeCell ref="A24:A28"/>
    <mergeCell ref="B24:B28"/>
    <mergeCell ref="A29:A39"/>
    <mergeCell ref="B29:B39"/>
    <mergeCell ref="A40:A49"/>
    <mergeCell ref="B40:B49"/>
    <mergeCell ref="B50:B59"/>
    <mergeCell ref="A97:A107"/>
    <mergeCell ref="B97:B107"/>
    <mergeCell ref="A108:A111"/>
    <mergeCell ref="B108:B111"/>
    <mergeCell ref="A112:A118"/>
    <mergeCell ref="B112:B118"/>
    <mergeCell ref="A119:A123"/>
    <mergeCell ref="B119:B123"/>
    <mergeCell ref="A50:A59"/>
    <mergeCell ref="A60:A71"/>
    <mergeCell ref="B60:B71"/>
    <mergeCell ref="A72:A81"/>
    <mergeCell ref="B72:B81"/>
    <mergeCell ref="A82:A96"/>
    <mergeCell ref="B82:B96"/>
  </mergeCells>
  <dataValidations>
    <dataValidation type="list" allowBlank="1" sqref="D4:D123">
      <formula1>"ESTRATÉGICO,RESULTADO,PROCESSO,CONTRATUAL,CUSTO,CONTROLE"</formula1>
    </dataValidation>
  </dataValidation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31.88"/>
    <col customWidth="1" min="2" max="3" width="32.88"/>
    <col customWidth="1" min="4" max="4" width="23.75"/>
    <col customWidth="1" min="5" max="5" width="36.0"/>
    <col hidden="1" min="6" max="15" width="12.63"/>
  </cols>
  <sheetData>
    <row r="1" ht="31.5" customHeight="1">
      <c r="A1" s="138" t="s">
        <v>116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</row>
    <row r="2" ht="51.0" customHeight="1">
      <c r="A2" s="129"/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29"/>
      <c r="Z2" s="129"/>
      <c r="AA2" s="129"/>
    </row>
    <row r="3" ht="31.5" customHeight="1">
      <c r="A3" s="140" t="s">
        <v>251</v>
      </c>
      <c r="B3" s="140" t="s">
        <v>156</v>
      </c>
      <c r="C3" s="140" t="s">
        <v>157</v>
      </c>
      <c r="D3" s="140" t="s">
        <v>158</v>
      </c>
      <c r="E3" s="140" t="s">
        <v>159</v>
      </c>
      <c r="F3" s="141">
        <v>45741.0</v>
      </c>
      <c r="G3" s="141">
        <v>45772.0</v>
      </c>
      <c r="H3" s="141">
        <v>45802.0</v>
      </c>
      <c r="I3" s="141">
        <v>45833.0</v>
      </c>
      <c r="J3" s="141">
        <v>45863.0</v>
      </c>
      <c r="K3" s="141">
        <v>45894.0</v>
      </c>
      <c r="L3" s="141">
        <v>45925.0</v>
      </c>
      <c r="M3" s="141">
        <v>45955.0</v>
      </c>
      <c r="N3" s="141">
        <v>45986.0</v>
      </c>
      <c r="O3" s="141">
        <v>46016.0</v>
      </c>
      <c r="P3" s="228">
        <v>46048.0</v>
      </c>
      <c r="Q3" s="228">
        <v>46079.0</v>
      </c>
      <c r="R3" s="228">
        <v>46107.0</v>
      </c>
      <c r="S3" s="228">
        <v>46138.0</v>
      </c>
      <c r="T3" s="228">
        <v>46168.0</v>
      </c>
      <c r="U3" s="229" t="s">
        <v>160</v>
      </c>
      <c r="V3" s="228">
        <v>46229.0</v>
      </c>
      <c r="W3" s="228">
        <v>46260.0</v>
      </c>
      <c r="X3" s="228">
        <v>46291.0</v>
      </c>
      <c r="Y3" s="228">
        <v>46321.0</v>
      </c>
      <c r="Z3" s="228">
        <v>46352.0</v>
      </c>
      <c r="AA3" s="228">
        <v>46382.0</v>
      </c>
    </row>
    <row r="4">
      <c r="A4" s="230" t="s">
        <v>146</v>
      </c>
      <c r="B4" s="166" t="s">
        <v>252</v>
      </c>
      <c r="C4" s="146" t="s">
        <v>253</v>
      </c>
      <c r="D4" s="146" t="s">
        <v>169</v>
      </c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5"/>
      <c r="P4" s="151"/>
      <c r="Q4" s="151"/>
      <c r="R4" s="151"/>
      <c r="S4" s="151"/>
      <c r="T4" s="151"/>
      <c r="U4" s="151"/>
      <c r="V4" s="151"/>
      <c r="W4" s="151"/>
      <c r="X4" s="151"/>
      <c r="Y4" s="151"/>
      <c r="Z4" s="151"/>
      <c r="AA4" s="151"/>
    </row>
    <row r="5">
      <c r="A5" s="152"/>
      <c r="B5" s="71"/>
      <c r="C5" s="146" t="s">
        <v>254</v>
      </c>
      <c r="D5" s="146" t="s">
        <v>176</v>
      </c>
      <c r="E5" s="146"/>
      <c r="F5" s="146"/>
      <c r="G5" s="146"/>
      <c r="H5" s="146"/>
      <c r="I5" s="146"/>
      <c r="J5" s="146"/>
      <c r="K5" s="146"/>
      <c r="L5" s="146"/>
      <c r="M5" s="146"/>
      <c r="N5" s="146"/>
      <c r="O5" s="145"/>
      <c r="P5" s="151"/>
      <c r="Q5" s="151"/>
      <c r="R5" s="151"/>
      <c r="S5" s="151"/>
      <c r="T5" s="151"/>
      <c r="U5" s="151"/>
      <c r="V5" s="151"/>
      <c r="W5" s="151"/>
      <c r="X5" s="151"/>
      <c r="Y5" s="151"/>
      <c r="Z5" s="151"/>
      <c r="AA5" s="151"/>
    </row>
    <row r="6">
      <c r="A6" s="152"/>
      <c r="B6" s="71"/>
      <c r="C6" s="146" t="s">
        <v>255</v>
      </c>
      <c r="D6" s="146" t="s">
        <v>156</v>
      </c>
      <c r="E6" s="146"/>
      <c r="F6" s="146"/>
      <c r="G6" s="146"/>
      <c r="H6" s="146"/>
      <c r="I6" s="146"/>
      <c r="J6" s="146"/>
      <c r="K6" s="146"/>
      <c r="L6" s="146"/>
      <c r="M6" s="146"/>
      <c r="N6" s="146"/>
      <c r="O6" s="145"/>
      <c r="P6" s="151"/>
      <c r="Q6" s="151"/>
      <c r="R6" s="151"/>
      <c r="S6" s="151"/>
      <c r="T6" s="151"/>
      <c r="U6" s="151"/>
      <c r="V6" s="151"/>
      <c r="W6" s="151"/>
      <c r="X6" s="151"/>
      <c r="Y6" s="151"/>
      <c r="Z6" s="151"/>
      <c r="AA6" s="151"/>
    </row>
    <row r="7">
      <c r="A7" s="152"/>
      <c r="B7" s="71"/>
      <c r="C7" s="146" t="s">
        <v>256</v>
      </c>
      <c r="D7" s="146" t="s">
        <v>176</v>
      </c>
      <c r="E7" s="146"/>
      <c r="F7" s="146"/>
      <c r="G7" s="146"/>
      <c r="H7" s="146"/>
      <c r="I7" s="146"/>
      <c r="J7" s="146"/>
      <c r="K7" s="146"/>
      <c r="L7" s="146"/>
      <c r="M7" s="146"/>
      <c r="N7" s="146"/>
      <c r="O7" s="145"/>
      <c r="P7" s="151"/>
      <c r="Q7" s="151"/>
      <c r="R7" s="151"/>
      <c r="S7" s="151"/>
      <c r="T7" s="151"/>
      <c r="U7" s="151"/>
      <c r="V7" s="151"/>
      <c r="W7" s="151"/>
      <c r="X7" s="151"/>
      <c r="Y7" s="151"/>
      <c r="Z7" s="151"/>
      <c r="AA7" s="151"/>
    </row>
    <row r="8">
      <c r="A8" s="105"/>
      <c r="B8" s="74"/>
      <c r="C8" s="162" t="s">
        <v>257</v>
      </c>
      <c r="D8" s="162" t="s">
        <v>156</v>
      </c>
      <c r="E8" s="162"/>
      <c r="F8" s="162"/>
      <c r="G8" s="162"/>
      <c r="H8" s="162"/>
      <c r="I8" s="162"/>
      <c r="J8" s="162"/>
      <c r="K8" s="162"/>
      <c r="L8" s="162"/>
      <c r="M8" s="162"/>
      <c r="N8" s="162"/>
      <c r="O8" s="172"/>
      <c r="P8" s="164"/>
      <c r="Q8" s="164"/>
      <c r="R8" s="164"/>
      <c r="S8" s="164"/>
      <c r="T8" s="164"/>
      <c r="U8" s="164"/>
      <c r="V8" s="164"/>
      <c r="W8" s="164"/>
      <c r="X8" s="164"/>
      <c r="Y8" s="164"/>
      <c r="Z8" s="164"/>
      <c r="AA8" s="164"/>
    </row>
    <row r="9">
      <c r="A9" s="102" t="s">
        <v>87</v>
      </c>
      <c r="B9" s="166" t="s">
        <v>258</v>
      </c>
      <c r="C9" s="178" t="s">
        <v>259</v>
      </c>
      <c r="D9" s="178" t="s">
        <v>176</v>
      </c>
      <c r="E9" s="178" t="s">
        <v>171</v>
      </c>
      <c r="F9" s="178"/>
      <c r="G9" s="178"/>
      <c r="H9" s="178"/>
      <c r="I9" s="178"/>
      <c r="J9" s="178"/>
      <c r="K9" s="178"/>
      <c r="L9" s="178"/>
      <c r="M9" s="178"/>
      <c r="N9" s="178"/>
      <c r="O9" s="167"/>
      <c r="P9" s="170"/>
      <c r="Q9" s="170"/>
      <c r="R9" s="170"/>
      <c r="S9" s="170"/>
      <c r="T9" s="170"/>
      <c r="U9" s="170"/>
      <c r="V9" s="170"/>
      <c r="W9" s="170"/>
      <c r="X9" s="170"/>
      <c r="Y9" s="170"/>
      <c r="Z9" s="170"/>
      <c r="AA9" s="170"/>
    </row>
    <row r="10">
      <c r="A10" s="152"/>
      <c r="B10" s="71"/>
      <c r="C10" s="146" t="s">
        <v>260</v>
      </c>
      <c r="D10" s="146" t="s">
        <v>156</v>
      </c>
      <c r="E10" s="146" t="s">
        <v>171</v>
      </c>
      <c r="F10" s="146"/>
      <c r="G10" s="146"/>
      <c r="H10" s="146"/>
      <c r="I10" s="146"/>
      <c r="J10" s="146"/>
      <c r="K10" s="146"/>
      <c r="L10" s="146"/>
      <c r="M10" s="146"/>
      <c r="N10" s="146"/>
      <c r="O10" s="145"/>
      <c r="P10" s="151"/>
      <c r="Q10" s="151"/>
      <c r="R10" s="151"/>
      <c r="S10" s="151"/>
      <c r="T10" s="151"/>
      <c r="U10" s="151"/>
      <c r="V10" s="151"/>
      <c r="W10" s="151"/>
      <c r="X10" s="151"/>
      <c r="Y10" s="151"/>
      <c r="Z10" s="151"/>
      <c r="AA10" s="151"/>
    </row>
    <row r="11">
      <c r="A11" s="152"/>
      <c r="B11" s="71"/>
      <c r="C11" s="146" t="s">
        <v>261</v>
      </c>
      <c r="D11" s="146" t="s">
        <v>156</v>
      </c>
      <c r="E11" s="146" t="s">
        <v>171</v>
      </c>
      <c r="F11" s="146"/>
      <c r="G11" s="146"/>
      <c r="H11" s="146"/>
      <c r="I11" s="146"/>
      <c r="J11" s="146"/>
      <c r="K11" s="146"/>
      <c r="L11" s="146"/>
      <c r="M11" s="146"/>
      <c r="N11" s="146"/>
      <c r="O11" s="145"/>
      <c r="P11" s="151"/>
      <c r="Q11" s="151"/>
      <c r="R11" s="151"/>
      <c r="S11" s="151"/>
      <c r="T11" s="151"/>
      <c r="U11" s="151"/>
      <c r="V11" s="151"/>
      <c r="W11" s="151"/>
      <c r="X11" s="151"/>
      <c r="Y11" s="151"/>
      <c r="Z11" s="151"/>
      <c r="AA11" s="151"/>
    </row>
    <row r="12">
      <c r="A12" s="152"/>
      <c r="B12" s="71"/>
      <c r="C12" s="146" t="s">
        <v>262</v>
      </c>
      <c r="D12" s="146" t="s">
        <v>156</v>
      </c>
      <c r="E12" s="231" t="s">
        <v>263</v>
      </c>
      <c r="F12" s="146"/>
      <c r="G12" s="146"/>
      <c r="H12" s="146"/>
      <c r="I12" s="146"/>
      <c r="J12" s="146"/>
      <c r="K12" s="146"/>
      <c r="L12" s="146"/>
      <c r="M12" s="146"/>
      <c r="N12" s="146"/>
      <c r="O12" s="145"/>
      <c r="P12" s="151"/>
      <c r="Q12" s="151"/>
      <c r="R12" s="151"/>
      <c r="S12" s="151"/>
      <c r="T12" s="151"/>
      <c r="U12" s="151"/>
      <c r="V12" s="151"/>
      <c r="W12" s="151"/>
      <c r="X12" s="151"/>
      <c r="Y12" s="151"/>
      <c r="Z12" s="151"/>
      <c r="AA12" s="151"/>
    </row>
    <row r="13">
      <c r="A13" s="105"/>
      <c r="B13" s="74"/>
      <c r="C13" s="162" t="s">
        <v>264</v>
      </c>
      <c r="D13" s="162" t="s">
        <v>156</v>
      </c>
      <c r="E13" s="162" t="s">
        <v>171</v>
      </c>
      <c r="F13" s="162"/>
      <c r="G13" s="162"/>
      <c r="H13" s="162"/>
      <c r="I13" s="162"/>
      <c r="J13" s="162"/>
      <c r="K13" s="162"/>
      <c r="L13" s="162"/>
      <c r="M13" s="162"/>
      <c r="N13" s="162"/>
      <c r="O13" s="172"/>
      <c r="P13" s="164"/>
      <c r="Q13" s="164"/>
      <c r="R13" s="164"/>
      <c r="S13" s="164"/>
      <c r="T13" s="164"/>
      <c r="U13" s="164"/>
      <c r="V13" s="164"/>
      <c r="W13" s="164"/>
      <c r="X13" s="164"/>
      <c r="Y13" s="164"/>
      <c r="Z13" s="164"/>
      <c r="AA13" s="164"/>
    </row>
    <row r="14">
      <c r="A14" s="102" t="s">
        <v>70</v>
      </c>
      <c r="B14" s="166" t="s">
        <v>265</v>
      </c>
      <c r="C14" s="232" t="s">
        <v>266</v>
      </c>
      <c r="D14" s="169" t="s">
        <v>156</v>
      </c>
      <c r="E14" s="178"/>
      <c r="F14" s="178"/>
      <c r="G14" s="178"/>
      <c r="H14" s="178"/>
      <c r="I14" s="178"/>
      <c r="J14" s="178"/>
      <c r="K14" s="178"/>
      <c r="L14" s="178"/>
      <c r="M14" s="178"/>
      <c r="N14" s="178"/>
      <c r="O14" s="167"/>
      <c r="P14" s="151"/>
      <c r="Q14" s="151"/>
      <c r="R14" s="151"/>
      <c r="S14" s="151"/>
      <c r="T14" s="151"/>
      <c r="U14" s="151"/>
      <c r="V14" s="151"/>
      <c r="W14" s="151"/>
      <c r="X14" s="151"/>
      <c r="Y14" s="151"/>
      <c r="Z14" s="151"/>
      <c r="AA14" s="151"/>
    </row>
    <row r="15">
      <c r="A15" s="152"/>
      <c r="B15" s="71"/>
      <c r="C15" s="233" t="s">
        <v>267</v>
      </c>
      <c r="D15" s="147" t="s">
        <v>156</v>
      </c>
      <c r="E15" s="146"/>
      <c r="F15" s="146"/>
      <c r="G15" s="146"/>
      <c r="H15" s="146"/>
      <c r="I15" s="146"/>
      <c r="J15" s="146"/>
      <c r="K15" s="146"/>
      <c r="L15" s="146"/>
      <c r="M15" s="146"/>
      <c r="N15" s="146"/>
      <c r="O15" s="145"/>
      <c r="P15" s="151"/>
      <c r="Q15" s="151"/>
      <c r="R15" s="151"/>
      <c r="S15" s="151"/>
      <c r="T15" s="151"/>
      <c r="U15" s="151"/>
      <c r="V15" s="151"/>
      <c r="W15" s="151"/>
      <c r="X15" s="151"/>
      <c r="Y15" s="151"/>
      <c r="Z15" s="151"/>
      <c r="AA15" s="151"/>
    </row>
    <row r="16">
      <c r="A16" s="152"/>
      <c r="B16" s="71"/>
      <c r="C16" s="233" t="s">
        <v>268</v>
      </c>
      <c r="D16" s="147" t="s">
        <v>176</v>
      </c>
      <c r="E16" s="146"/>
      <c r="F16" s="146"/>
      <c r="G16" s="146"/>
      <c r="H16" s="146"/>
      <c r="I16" s="146"/>
      <c r="J16" s="146"/>
      <c r="K16" s="146"/>
      <c r="L16" s="146"/>
      <c r="M16" s="146"/>
      <c r="N16" s="146"/>
      <c r="O16" s="145"/>
      <c r="P16" s="151"/>
      <c r="Q16" s="151"/>
      <c r="R16" s="151"/>
      <c r="S16" s="151"/>
      <c r="T16" s="151"/>
      <c r="U16" s="151"/>
      <c r="V16" s="151"/>
      <c r="W16" s="151"/>
      <c r="X16" s="151"/>
      <c r="Y16" s="151"/>
      <c r="Z16" s="151"/>
      <c r="AA16" s="151"/>
    </row>
    <row r="17">
      <c r="A17" s="152"/>
      <c r="B17" s="71"/>
      <c r="C17" s="234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6"/>
      <c r="O17" s="145"/>
      <c r="P17" s="151"/>
      <c r="Q17" s="151"/>
      <c r="R17" s="151"/>
      <c r="S17" s="151"/>
      <c r="T17" s="151"/>
      <c r="U17" s="151"/>
      <c r="V17" s="151"/>
      <c r="W17" s="151"/>
      <c r="X17" s="151"/>
      <c r="Y17" s="151"/>
      <c r="Z17" s="151"/>
      <c r="AA17" s="151"/>
    </row>
    <row r="18">
      <c r="A18" s="152"/>
      <c r="B18" s="71"/>
      <c r="C18" s="234"/>
      <c r="D18" s="146"/>
      <c r="E18" s="146"/>
      <c r="F18" s="146"/>
      <c r="G18" s="146"/>
      <c r="H18" s="146"/>
      <c r="I18" s="146"/>
      <c r="J18" s="146"/>
      <c r="K18" s="146"/>
      <c r="L18" s="146"/>
      <c r="M18" s="146"/>
      <c r="N18" s="146"/>
      <c r="O18" s="145"/>
      <c r="P18" s="151"/>
      <c r="Q18" s="151"/>
      <c r="R18" s="151"/>
      <c r="S18" s="151"/>
      <c r="T18" s="151"/>
      <c r="U18" s="151"/>
      <c r="V18" s="151"/>
      <c r="W18" s="151"/>
      <c r="X18" s="151"/>
      <c r="Y18" s="151"/>
      <c r="Z18" s="151"/>
      <c r="AA18" s="151"/>
    </row>
    <row r="19">
      <c r="A19" s="105"/>
      <c r="B19" s="74"/>
      <c r="C19" s="183"/>
      <c r="D19" s="162"/>
      <c r="E19" s="162"/>
      <c r="F19" s="162"/>
      <c r="G19" s="162"/>
      <c r="H19" s="162"/>
      <c r="I19" s="162"/>
      <c r="J19" s="162"/>
      <c r="K19" s="162"/>
      <c r="L19" s="162"/>
      <c r="M19" s="162"/>
      <c r="N19" s="162"/>
      <c r="O19" s="172"/>
      <c r="P19" s="164"/>
      <c r="Q19" s="164"/>
      <c r="R19" s="164"/>
      <c r="S19" s="164"/>
      <c r="T19" s="164"/>
      <c r="U19" s="164"/>
      <c r="V19" s="164"/>
      <c r="W19" s="164"/>
      <c r="X19" s="164"/>
      <c r="Y19" s="164"/>
      <c r="Z19" s="164"/>
      <c r="AA19" s="164"/>
    </row>
    <row r="20">
      <c r="A20" s="102" t="s">
        <v>85</v>
      </c>
      <c r="B20" s="166"/>
      <c r="C20" s="235"/>
      <c r="D20" s="178"/>
      <c r="E20" s="178"/>
      <c r="F20" s="178"/>
      <c r="G20" s="178"/>
      <c r="H20" s="178"/>
      <c r="I20" s="178"/>
      <c r="J20" s="178"/>
      <c r="K20" s="178"/>
      <c r="L20" s="178"/>
      <c r="M20" s="178"/>
      <c r="N20" s="178"/>
      <c r="O20" s="167"/>
      <c r="P20" s="151"/>
      <c r="Q20" s="151"/>
      <c r="R20" s="151"/>
      <c r="S20" s="151"/>
      <c r="T20" s="151"/>
      <c r="U20" s="151"/>
      <c r="V20" s="151"/>
      <c r="W20" s="151"/>
      <c r="X20" s="151"/>
      <c r="Y20" s="151"/>
      <c r="Z20" s="151"/>
      <c r="AA20" s="151"/>
    </row>
    <row r="21">
      <c r="A21" s="152"/>
      <c r="B21" s="71"/>
      <c r="C21" s="234"/>
      <c r="D21" s="146"/>
      <c r="E21" s="146"/>
      <c r="F21" s="146"/>
      <c r="G21" s="146"/>
      <c r="H21" s="146"/>
      <c r="I21" s="146"/>
      <c r="J21" s="146"/>
      <c r="K21" s="146"/>
      <c r="L21" s="146"/>
      <c r="M21" s="146"/>
      <c r="N21" s="146"/>
      <c r="O21" s="145"/>
      <c r="P21" s="151"/>
      <c r="Q21" s="151"/>
      <c r="R21" s="151"/>
      <c r="S21" s="151"/>
      <c r="T21" s="151"/>
      <c r="U21" s="151"/>
      <c r="V21" s="151"/>
      <c r="W21" s="151"/>
      <c r="X21" s="151"/>
      <c r="Y21" s="151"/>
      <c r="Z21" s="151"/>
      <c r="AA21" s="151"/>
    </row>
    <row r="22">
      <c r="A22" s="152"/>
      <c r="B22" s="71"/>
      <c r="C22" s="234"/>
      <c r="D22" s="146"/>
      <c r="E22" s="146"/>
      <c r="F22" s="146"/>
      <c r="G22" s="146"/>
      <c r="H22" s="146"/>
      <c r="I22" s="146"/>
      <c r="J22" s="146"/>
      <c r="K22" s="146"/>
      <c r="L22" s="146"/>
      <c r="M22" s="146"/>
      <c r="N22" s="146"/>
      <c r="O22" s="145"/>
      <c r="P22" s="151"/>
      <c r="Q22" s="151"/>
      <c r="R22" s="151"/>
      <c r="S22" s="151"/>
      <c r="T22" s="151"/>
      <c r="U22" s="151"/>
      <c r="V22" s="151"/>
      <c r="W22" s="151"/>
      <c r="X22" s="151"/>
      <c r="Y22" s="151"/>
      <c r="Z22" s="151"/>
      <c r="AA22" s="151"/>
    </row>
    <row r="23">
      <c r="A23" s="152"/>
      <c r="B23" s="71"/>
      <c r="C23" s="234"/>
      <c r="D23" s="146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5"/>
      <c r="P23" s="151"/>
      <c r="Q23" s="151"/>
      <c r="R23" s="151"/>
      <c r="S23" s="151"/>
      <c r="T23" s="151"/>
      <c r="U23" s="151"/>
      <c r="V23" s="151"/>
      <c r="W23" s="151"/>
      <c r="X23" s="151"/>
      <c r="Y23" s="151"/>
      <c r="Z23" s="151"/>
      <c r="AA23" s="151"/>
    </row>
    <row r="24">
      <c r="A24" s="152"/>
      <c r="B24" s="71"/>
      <c r="C24" s="234"/>
      <c r="D24" s="146"/>
      <c r="E24" s="146"/>
      <c r="F24" s="146"/>
      <c r="G24" s="146"/>
      <c r="H24" s="146"/>
      <c r="I24" s="146"/>
      <c r="J24" s="146"/>
      <c r="K24" s="146"/>
      <c r="L24" s="146"/>
      <c r="M24" s="146"/>
      <c r="N24" s="146"/>
      <c r="O24" s="145"/>
      <c r="P24" s="151"/>
      <c r="Q24" s="151"/>
      <c r="R24" s="151"/>
      <c r="S24" s="151"/>
      <c r="T24" s="151"/>
      <c r="U24" s="151"/>
      <c r="V24" s="151"/>
      <c r="W24" s="151"/>
      <c r="X24" s="151"/>
      <c r="Y24" s="151"/>
      <c r="Z24" s="151"/>
      <c r="AA24" s="151"/>
    </row>
    <row r="25">
      <c r="A25" s="105"/>
      <c r="B25" s="74"/>
      <c r="C25" s="183"/>
      <c r="D25" s="162"/>
      <c r="E25" s="162"/>
      <c r="F25" s="162"/>
      <c r="G25" s="162"/>
      <c r="H25" s="162"/>
      <c r="I25" s="162"/>
      <c r="J25" s="162"/>
      <c r="K25" s="162"/>
      <c r="L25" s="162"/>
      <c r="M25" s="162"/>
      <c r="N25" s="162"/>
      <c r="O25" s="172"/>
      <c r="P25" s="164"/>
      <c r="Q25" s="164"/>
      <c r="R25" s="164"/>
      <c r="S25" s="164"/>
      <c r="T25" s="164"/>
      <c r="U25" s="164"/>
      <c r="V25" s="164"/>
      <c r="W25" s="164"/>
      <c r="X25" s="164"/>
      <c r="Y25" s="164"/>
      <c r="Z25" s="164"/>
      <c r="AA25" s="164"/>
    </row>
    <row r="26">
      <c r="A26" s="236" t="s">
        <v>269</v>
      </c>
      <c r="B26" s="166" t="s">
        <v>270</v>
      </c>
      <c r="C26" s="232" t="s">
        <v>271</v>
      </c>
      <c r="D26" s="169" t="s">
        <v>176</v>
      </c>
      <c r="E26" s="178"/>
      <c r="F26" s="178"/>
      <c r="G26" s="178"/>
      <c r="H26" s="178"/>
      <c r="I26" s="178"/>
      <c r="J26" s="178"/>
      <c r="K26" s="178"/>
      <c r="L26" s="178"/>
      <c r="M26" s="178"/>
      <c r="N26" s="178"/>
      <c r="O26" s="167"/>
      <c r="P26" s="151"/>
      <c r="Q26" s="151"/>
      <c r="R26" s="151"/>
      <c r="S26" s="151"/>
      <c r="T26" s="151"/>
      <c r="U26" s="151"/>
      <c r="V26" s="151"/>
      <c r="W26" s="151"/>
      <c r="X26" s="151"/>
      <c r="Y26" s="151"/>
      <c r="Z26" s="151"/>
      <c r="AA26" s="151"/>
    </row>
    <row r="27">
      <c r="A27" s="152"/>
      <c r="B27" s="71"/>
      <c r="C27" s="233" t="s">
        <v>272</v>
      </c>
      <c r="D27" s="147" t="s">
        <v>176</v>
      </c>
      <c r="E27" s="146"/>
      <c r="F27" s="146"/>
      <c r="G27" s="146"/>
      <c r="H27" s="146"/>
      <c r="I27" s="146"/>
      <c r="J27" s="146"/>
      <c r="K27" s="146"/>
      <c r="L27" s="146"/>
      <c r="M27" s="146"/>
      <c r="N27" s="146"/>
      <c r="O27" s="145"/>
      <c r="P27" s="151"/>
      <c r="Q27" s="151"/>
      <c r="R27" s="151"/>
      <c r="S27" s="151"/>
      <c r="T27" s="151"/>
      <c r="U27" s="151"/>
      <c r="V27" s="151"/>
      <c r="W27" s="151"/>
      <c r="X27" s="151"/>
      <c r="Y27" s="151"/>
      <c r="Z27" s="151"/>
      <c r="AA27" s="151"/>
    </row>
    <row r="28">
      <c r="A28" s="152"/>
      <c r="B28" s="71"/>
      <c r="C28" s="234"/>
      <c r="D28" s="146"/>
      <c r="E28" s="146"/>
      <c r="F28" s="146"/>
      <c r="G28" s="146"/>
      <c r="H28" s="146"/>
      <c r="I28" s="146"/>
      <c r="J28" s="146"/>
      <c r="K28" s="146"/>
      <c r="L28" s="146"/>
      <c r="M28" s="146"/>
      <c r="N28" s="146"/>
      <c r="O28" s="145"/>
      <c r="P28" s="151"/>
      <c r="Q28" s="151"/>
      <c r="R28" s="151"/>
      <c r="S28" s="151"/>
      <c r="T28" s="151"/>
      <c r="U28" s="151"/>
      <c r="V28" s="151"/>
      <c r="W28" s="151"/>
      <c r="X28" s="151"/>
      <c r="Y28" s="151"/>
      <c r="Z28" s="151"/>
      <c r="AA28" s="151"/>
    </row>
    <row r="29">
      <c r="A29" s="152"/>
      <c r="B29" s="71"/>
      <c r="C29" s="234"/>
      <c r="D29" s="146"/>
      <c r="E29" s="146"/>
      <c r="F29" s="146"/>
      <c r="G29" s="146"/>
      <c r="H29" s="146"/>
      <c r="I29" s="146"/>
      <c r="J29" s="146"/>
      <c r="K29" s="146"/>
      <c r="L29" s="146"/>
      <c r="M29" s="146"/>
      <c r="N29" s="146"/>
      <c r="O29" s="145"/>
      <c r="P29" s="151"/>
      <c r="Q29" s="151"/>
      <c r="R29" s="151"/>
      <c r="S29" s="151"/>
      <c r="T29" s="151"/>
      <c r="U29" s="151"/>
      <c r="V29" s="151"/>
      <c r="W29" s="151"/>
      <c r="X29" s="151"/>
      <c r="Y29" s="151"/>
      <c r="Z29" s="151"/>
      <c r="AA29" s="151"/>
    </row>
    <row r="30">
      <c r="A30" s="152"/>
      <c r="B30" s="71"/>
      <c r="C30" s="234"/>
      <c r="D30" s="146"/>
      <c r="E30" s="146"/>
      <c r="F30" s="146"/>
      <c r="G30" s="146"/>
      <c r="H30" s="146"/>
      <c r="I30" s="146"/>
      <c r="J30" s="146"/>
      <c r="K30" s="146"/>
      <c r="L30" s="146"/>
      <c r="M30" s="146"/>
      <c r="N30" s="146"/>
      <c r="O30" s="145"/>
      <c r="P30" s="151"/>
      <c r="Q30" s="151"/>
      <c r="R30" s="151"/>
      <c r="S30" s="151"/>
      <c r="T30" s="151"/>
      <c r="U30" s="151"/>
      <c r="V30" s="151"/>
      <c r="W30" s="151"/>
      <c r="X30" s="151"/>
      <c r="Y30" s="151"/>
      <c r="Z30" s="151"/>
      <c r="AA30" s="151"/>
    </row>
    <row r="31">
      <c r="A31" s="105"/>
      <c r="B31" s="74"/>
      <c r="C31" s="183"/>
      <c r="D31" s="162"/>
      <c r="E31" s="162"/>
      <c r="F31" s="162"/>
      <c r="G31" s="162"/>
      <c r="H31" s="162"/>
      <c r="I31" s="162"/>
      <c r="J31" s="162"/>
      <c r="K31" s="162"/>
      <c r="L31" s="162"/>
      <c r="M31" s="162"/>
      <c r="N31" s="162"/>
      <c r="O31" s="172"/>
      <c r="P31" s="164"/>
      <c r="Q31" s="164"/>
      <c r="R31" s="164"/>
      <c r="S31" s="164"/>
      <c r="T31" s="164"/>
      <c r="U31" s="164"/>
      <c r="V31" s="164"/>
      <c r="W31" s="164"/>
      <c r="X31" s="164"/>
      <c r="Y31" s="164"/>
      <c r="Z31" s="164"/>
      <c r="AA31" s="164"/>
    </row>
    <row r="32">
      <c r="A32" s="236" t="s">
        <v>273</v>
      </c>
      <c r="B32" s="166" t="s">
        <v>274</v>
      </c>
      <c r="C32" s="232" t="s">
        <v>275</v>
      </c>
      <c r="D32" s="169" t="s">
        <v>156</v>
      </c>
      <c r="E32" s="178"/>
      <c r="F32" s="178"/>
      <c r="G32" s="178"/>
      <c r="H32" s="178"/>
      <c r="I32" s="178"/>
      <c r="J32" s="178"/>
      <c r="K32" s="178"/>
      <c r="L32" s="178"/>
      <c r="M32" s="178"/>
      <c r="N32" s="178"/>
      <c r="O32" s="167"/>
      <c r="P32" s="151"/>
      <c r="Q32" s="151"/>
      <c r="R32" s="151"/>
      <c r="S32" s="151"/>
      <c r="T32" s="151"/>
      <c r="U32" s="151"/>
      <c r="V32" s="151"/>
      <c r="W32" s="151"/>
      <c r="X32" s="151"/>
      <c r="Y32" s="151"/>
      <c r="Z32" s="151"/>
      <c r="AA32" s="151"/>
    </row>
    <row r="33">
      <c r="A33" s="152"/>
      <c r="B33" s="71"/>
      <c r="C33" s="233" t="s">
        <v>276</v>
      </c>
      <c r="D33" s="147" t="s">
        <v>156</v>
      </c>
      <c r="E33" s="146"/>
      <c r="F33" s="146"/>
      <c r="G33" s="146"/>
      <c r="H33" s="146"/>
      <c r="I33" s="146"/>
      <c r="J33" s="146"/>
      <c r="K33" s="146"/>
      <c r="L33" s="146"/>
      <c r="M33" s="146"/>
      <c r="N33" s="146"/>
      <c r="O33" s="145"/>
      <c r="P33" s="151"/>
      <c r="Q33" s="151"/>
      <c r="R33" s="151"/>
      <c r="S33" s="151"/>
      <c r="T33" s="151"/>
      <c r="U33" s="151"/>
      <c r="V33" s="151"/>
      <c r="W33" s="151"/>
      <c r="X33" s="151"/>
      <c r="Y33" s="151"/>
      <c r="Z33" s="151"/>
      <c r="AA33" s="151"/>
    </row>
    <row r="34">
      <c r="A34" s="152"/>
      <c r="B34" s="71"/>
      <c r="C34" s="233" t="s">
        <v>277</v>
      </c>
      <c r="D34" s="147" t="s">
        <v>176</v>
      </c>
      <c r="E34" s="146"/>
      <c r="F34" s="146"/>
      <c r="G34" s="146"/>
      <c r="H34" s="146"/>
      <c r="I34" s="146"/>
      <c r="J34" s="146"/>
      <c r="K34" s="146"/>
      <c r="L34" s="146"/>
      <c r="M34" s="146"/>
      <c r="N34" s="146"/>
      <c r="O34" s="145"/>
      <c r="P34" s="151"/>
      <c r="Q34" s="151"/>
      <c r="R34" s="151"/>
      <c r="S34" s="151"/>
      <c r="T34" s="151"/>
      <c r="U34" s="151"/>
      <c r="V34" s="151"/>
      <c r="W34" s="151"/>
      <c r="X34" s="151"/>
      <c r="Y34" s="151"/>
      <c r="Z34" s="151"/>
      <c r="AA34" s="151"/>
    </row>
    <row r="35">
      <c r="A35" s="152"/>
      <c r="B35" s="71"/>
      <c r="C35" s="234"/>
      <c r="D35" s="146"/>
      <c r="E35" s="146"/>
      <c r="F35" s="146"/>
      <c r="G35" s="146"/>
      <c r="H35" s="146"/>
      <c r="I35" s="146"/>
      <c r="J35" s="146"/>
      <c r="K35" s="146"/>
      <c r="L35" s="146"/>
      <c r="M35" s="146"/>
      <c r="N35" s="146"/>
      <c r="O35" s="145"/>
      <c r="P35" s="151"/>
      <c r="Q35" s="151"/>
      <c r="R35" s="151"/>
      <c r="S35" s="151"/>
      <c r="T35" s="151"/>
      <c r="U35" s="151"/>
      <c r="V35" s="151"/>
      <c r="W35" s="151"/>
      <c r="X35" s="151"/>
      <c r="Y35" s="151"/>
      <c r="Z35" s="151"/>
      <c r="AA35" s="151"/>
    </row>
    <row r="36">
      <c r="A36" s="152"/>
      <c r="B36" s="71"/>
      <c r="C36" s="234"/>
      <c r="D36" s="146"/>
      <c r="E36" s="146"/>
      <c r="F36" s="146"/>
      <c r="G36" s="146"/>
      <c r="H36" s="146"/>
      <c r="I36" s="146"/>
      <c r="J36" s="146"/>
      <c r="K36" s="146"/>
      <c r="L36" s="146"/>
      <c r="M36" s="146"/>
      <c r="N36" s="146"/>
      <c r="O36" s="145"/>
      <c r="P36" s="151"/>
      <c r="Q36" s="151"/>
      <c r="R36" s="151"/>
      <c r="S36" s="151"/>
      <c r="T36" s="151"/>
      <c r="U36" s="151"/>
      <c r="V36" s="151"/>
      <c r="W36" s="151"/>
      <c r="X36" s="151"/>
      <c r="Y36" s="151"/>
      <c r="Z36" s="151"/>
      <c r="AA36" s="151"/>
    </row>
    <row r="37">
      <c r="A37" s="105"/>
      <c r="B37" s="74"/>
      <c r="C37" s="183"/>
      <c r="D37" s="162"/>
      <c r="E37" s="162"/>
      <c r="F37" s="162"/>
      <c r="G37" s="162"/>
      <c r="H37" s="162"/>
      <c r="I37" s="162"/>
      <c r="J37" s="162"/>
      <c r="K37" s="162"/>
      <c r="L37" s="162"/>
      <c r="M37" s="162"/>
      <c r="N37" s="162"/>
      <c r="O37" s="172"/>
      <c r="P37" s="164"/>
      <c r="Q37" s="164"/>
      <c r="R37" s="164"/>
      <c r="S37" s="164"/>
      <c r="T37" s="164"/>
      <c r="U37" s="164"/>
      <c r="V37" s="164"/>
      <c r="W37" s="164"/>
      <c r="X37" s="164"/>
      <c r="Y37" s="164"/>
      <c r="Z37" s="164"/>
      <c r="AA37" s="164"/>
    </row>
    <row r="38">
      <c r="A38" s="236" t="s">
        <v>278</v>
      </c>
      <c r="B38" s="166" t="s">
        <v>279</v>
      </c>
      <c r="C38" s="232" t="s">
        <v>280</v>
      </c>
      <c r="D38" s="169" t="s">
        <v>156</v>
      </c>
      <c r="E38" s="178"/>
      <c r="F38" s="178"/>
      <c r="G38" s="178"/>
      <c r="H38" s="178"/>
      <c r="I38" s="178"/>
      <c r="J38" s="178"/>
      <c r="K38" s="178"/>
      <c r="L38" s="178"/>
      <c r="M38" s="178"/>
      <c r="N38" s="178"/>
      <c r="O38" s="167"/>
      <c r="P38" s="151"/>
      <c r="Q38" s="151"/>
      <c r="R38" s="151"/>
      <c r="S38" s="151"/>
      <c r="T38" s="151"/>
      <c r="U38" s="151"/>
      <c r="V38" s="151"/>
      <c r="W38" s="151"/>
      <c r="X38" s="151"/>
      <c r="Y38" s="151"/>
      <c r="Z38" s="151"/>
      <c r="AA38" s="151"/>
    </row>
    <row r="39">
      <c r="A39" s="152"/>
      <c r="B39" s="71"/>
      <c r="C39" s="233" t="s">
        <v>276</v>
      </c>
      <c r="D39" s="147" t="s">
        <v>156</v>
      </c>
      <c r="E39" s="146"/>
      <c r="F39" s="146"/>
      <c r="G39" s="146"/>
      <c r="H39" s="146"/>
      <c r="I39" s="146"/>
      <c r="J39" s="146"/>
      <c r="K39" s="146"/>
      <c r="L39" s="146"/>
      <c r="M39" s="146"/>
      <c r="N39" s="146"/>
      <c r="O39" s="145"/>
      <c r="P39" s="151"/>
      <c r="Q39" s="151"/>
      <c r="R39" s="151"/>
      <c r="S39" s="151"/>
      <c r="T39" s="151"/>
      <c r="U39" s="151"/>
      <c r="V39" s="151"/>
      <c r="W39" s="151"/>
      <c r="X39" s="151"/>
      <c r="Y39" s="151"/>
      <c r="Z39" s="151"/>
      <c r="AA39" s="151"/>
    </row>
    <row r="40">
      <c r="A40" s="152"/>
      <c r="B40" s="71"/>
      <c r="C40" s="233" t="s">
        <v>281</v>
      </c>
      <c r="D40" s="147" t="s">
        <v>176</v>
      </c>
      <c r="E40" s="146"/>
      <c r="F40" s="146"/>
      <c r="G40" s="146"/>
      <c r="H40" s="146"/>
      <c r="I40" s="146"/>
      <c r="J40" s="146"/>
      <c r="K40" s="146"/>
      <c r="L40" s="146"/>
      <c r="M40" s="146"/>
      <c r="N40" s="146"/>
      <c r="O40" s="145"/>
      <c r="P40" s="151"/>
      <c r="Q40" s="151"/>
      <c r="R40" s="151"/>
      <c r="S40" s="151"/>
      <c r="T40" s="151"/>
      <c r="U40" s="151"/>
      <c r="V40" s="151"/>
      <c r="W40" s="151"/>
      <c r="X40" s="151"/>
      <c r="Y40" s="151"/>
      <c r="Z40" s="151"/>
      <c r="AA40" s="151"/>
    </row>
    <row r="41">
      <c r="A41" s="152"/>
      <c r="B41" s="71"/>
      <c r="C41" s="233" t="s">
        <v>282</v>
      </c>
      <c r="D41" s="147" t="s">
        <v>176</v>
      </c>
      <c r="E41" s="146"/>
      <c r="F41" s="146"/>
      <c r="G41" s="146"/>
      <c r="H41" s="146"/>
      <c r="I41" s="146"/>
      <c r="J41" s="146"/>
      <c r="K41" s="146"/>
      <c r="L41" s="146"/>
      <c r="M41" s="146"/>
      <c r="N41" s="146"/>
      <c r="O41" s="145"/>
      <c r="P41" s="151"/>
      <c r="Q41" s="151"/>
      <c r="R41" s="151"/>
      <c r="S41" s="151"/>
      <c r="T41" s="151"/>
      <c r="U41" s="151"/>
      <c r="V41" s="151"/>
      <c r="W41" s="151"/>
      <c r="X41" s="151"/>
      <c r="Y41" s="151"/>
      <c r="Z41" s="151"/>
      <c r="AA41" s="151"/>
    </row>
    <row r="42">
      <c r="A42" s="152"/>
      <c r="B42" s="71"/>
      <c r="C42" s="233" t="s">
        <v>283</v>
      </c>
      <c r="D42" s="147" t="s">
        <v>176</v>
      </c>
      <c r="E42" s="146"/>
      <c r="F42" s="146"/>
      <c r="G42" s="146"/>
      <c r="H42" s="146"/>
      <c r="I42" s="146"/>
      <c r="J42" s="146"/>
      <c r="K42" s="146"/>
      <c r="L42" s="146"/>
      <c r="M42" s="146"/>
      <c r="N42" s="146"/>
      <c r="O42" s="145"/>
      <c r="P42" s="151"/>
      <c r="Q42" s="151"/>
      <c r="R42" s="151"/>
      <c r="S42" s="151"/>
      <c r="T42" s="151"/>
      <c r="U42" s="151"/>
      <c r="V42" s="151"/>
      <c r="W42" s="151"/>
      <c r="X42" s="151"/>
      <c r="Y42" s="151"/>
      <c r="Z42" s="151"/>
      <c r="AA42" s="151"/>
    </row>
    <row r="43">
      <c r="A43" s="105"/>
      <c r="B43" s="74"/>
      <c r="C43" s="183"/>
      <c r="D43" s="162"/>
      <c r="E43" s="162"/>
      <c r="F43" s="162"/>
      <c r="G43" s="162"/>
      <c r="H43" s="162"/>
      <c r="I43" s="162"/>
      <c r="J43" s="162"/>
      <c r="K43" s="162"/>
      <c r="L43" s="162"/>
      <c r="M43" s="162"/>
      <c r="N43" s="162"/>
      <c r="O43" s="172"/>
      <c r="P43" s="164"/>
      <c r="Q43" s="164"/>
      <c r="R43" s="164"/>
      <c r="S43" s="164"/>
      <c r="T43" s="164"/>
      <c r="U43" s="164"/>
      <c r="V43" s="164"/>
      <c r="W43" s="164"/>
      <c r="X43" s="164"/>
      <c r="Y43" s="164"/>
      <c r="Z43" s="164"/>
      <c r="AA43" s="164"/>
    </row>
    <row r="44">
      <c r="A44" s="102" t="s">
        <v>69</v>
      </c>
      <c r="B44" s="166"/>
      <c r="C44" s="235"/>
      <c r="D44" s="178"/>
      <c r="E44" s="178"/>
      <c r="F44" s="178"/>
      <c r="G44" s="178"/>
      <c r="H44" s="178"/>
      <c r="I44" s="178"/>
      <c r="J44" s="178"/>
      <c r="K44" s="178"/>
      <c r="L44" s="178"/>
      <c r="M44" s="178"/>
      <c r="N44" s="178"/>
      <c r="O44" s="167"/>
      <c r="P44" s="151"/>
      <c r="Q44" s="151"/>
      <c r="R44" s="151"/>
      <c r="S44" s="151"/>
      <c r="T44" s="151"/>
      <c r="U44" s="151"/>
      <c r="V44" s="151"/>
      <c r="W44" s="151"/>
      <c r="X44" s="151"/>
      <c r="Y44" s="151"/>
      <c r="Z44" s="151"/>
      <c r="AA44" s="151"/>
    </row>
    <row r="45">
      <c r="A45" s="152"/>
      <c r="B45" s="71"/>
      <c r="C45" s="234"/>
      <c r="D45" s="146"/>
      <c r="E45" s="146"/>
      <c r="F45" s="146"/>
      <c r="G45" s="146"/>
      <c r="H45" s="146"/>
      <c r="I45" s="146"/>
      <c r="J45" s="146"/>
      <c r="K45" s="146"/>
      <c r="L45" s="146"/>
      <c r="M45" s="146"/>
      <c r="N45" s="146"/>
      <c r="O45" s="145"/>
      <c r="P45" s="151"/>
      <c r="Q45" s="151"/>
      <c r="R45" s="151"/>
      <c r="S45" s="151"/>
      <c r="T45" s="151"/>
      <c r="U45" s="151"/>
      <c r="V45" s="151"/>
      <c r="W45" s="151"/>
      <c r="X45" s="151"/>
      <c r="Y45" s="151"/>
      <c r="Z45" s="151"/>
      <c r="AA45" s="151"/>
    </row>
    <row r="46">
      <c r="A46" s="152"/>
      <c r="B46" s="71"/>
      <c r="C46" s="234"/>
      <c r="D46" s="146"/>
      <c r="E46" s="146"/>
      <c r="F46" s="146"/>
      <c r="G46" s="146"/>
      <c r="H46" s="146"/>
      <c r="I46" s="146"/>
      <c r="J46" s="146"/>
      <c r="K46" s="146"/>
      <c r="L46" s="146"/>
      <c r="M46" s="146"/>
      <c r="N46" s="146"/>
      <c r="O46" s="145"/>
      <c r="P46" s="151"/>
      <c r="Q46" s="151"/>
      <c r="R46" s="151"/>
      <c r="S46" s="151"/>
      <c r="T46" s="151"/>
      <c r="U46" s="151"/>
      <c r="V46" s="151"/>
      <c r="W46" s="151"/>
      <c r="X46" s="151"/>
      <c r="Y46" s="151"/>
      <c r="Z46" s="151"/>
      <c r="AA46" s="151"/>
    </row>
    <row r="47">
      <c r="A47" s="152"/>
      <c r="B47" s="71"/>
      <c r="C47" s="234"/>
      <c r="D47" s="146"/>
      <c r="E47" s="146"/>
      <c r="F47" s="146"/>
      <c r="G47" s="146"/>
      <c r="H47" s="146"/>
      <c r="I47" s="146"/>
      <c r="J47" s="146"/>
      <c r="K47" s="146"/>
      <c r="L47" s="146"/>
      <c r="M47" s="146"/>
      <c r="N47" s="146"/>
      <c r="O47" s="145"/>
      <c r="P47" s="151"/>
      <c r="Q47" s="151"/>
      <c r="R47" s="151"/>
      <c r="S47" s="151"/>
      <c r="T47" s="151"/>
      <c r="U47" s="151"/>
      <c r="V47" s="151"/>
      <c r="W47" s="151"/>
      <c r="X47" s="151"/>
      <c r="Y47" s="151"/>
      <c r="Z47" s="151"/>
      <c r="AA47" s="151"/>
    </row>
    <row r="48">
      <c r="A48" s="152"/>
      <c r="B48" s="71"/>
      <c r="C48" s="234"/>
      <c r="D48" s="146"/>
      <c r="E48" s="146"/>
      <c r="F48" s="146"/>
      <c r="G48" s="146"/>
      <c r="H48" s="146"/>
      <c r="I48" s="146"/>
      <c r="J48" s="146"/>
      <c r="K48" s="146"/>
      <c r="L48" s="146"/>
      <c r="M48" s="146"/>
      <c r="N48" s="146"/>
      <c r="O48" s="145"/>
      <c r="P48" s="151"/>
      <c r="Q48" s="151"/>
      <c r="R48" s="151"/>
      <c r="S48" s="151"/>
      <c r="T48" s="151"/>
      <c r="U48" s="151"/>
      <c r="V48" s="151"/>
      <c r="W48" s="151"/>
      <c r="X48" s="151"/>
      <c r="Y48" s="151"/>
      <c r="Z48" s="151"/>
      <c r="AA48" s="151"/>
    </row>
    <row r="49">
      <c r="A49" s="105"/>
      <c r="B49" s="74"/>
      <c r="C49" s="183"/>
      <c r="D49" s="162"/>
      <c r="E49" s="162"/>
      <c r="F49" s="162"/>
      <c r="G49" s="162"/>
      <c r="H49" s="162"/>
      <c r="I49" s="162"/>
      <c r="J49" s="162"/>
      <c r="K49" s="162"/>
      <c r="L49" s="162"/>
      <c r="M49" s="162"/>
      <c r="N49" s="162"/>
      <c r="O49" s="172"/>
      <c r="P49" s="164"/>
      <c r="Q49" s="164"/>
      <c r="R49" s="164"/>
      <c r="S49" s="164"/>
      <c r="T49" s="164"/>
      <c r="U49" s="164"/>
      <c r="V49" s="164"/>
      <c r="W49" s="164"/>
      <c r="X49" s="164"/>
      <c r="Y49" s="164"/>
      <c r="Z49" s="164"/>
      <c r="AA49" s="164"/>
    </row>
    <row r="50">
      <c r="A50" s="237" t="s">
        <v>284</v>
      </c>
      <c r="B50" s="166"/>
      <c r="C50" s="235"/>
      <c r="D50" s="178"/>
      <c r="E50" s="178"/>
      <c r="F50" s="178"/>
      <c r="G50" s="178"/>
      <c r="H50" s="178"/>
      <c r="I50" s="178"/>
      <c r="J50" s="178"/>
      <c r="K50" s="178"/>
      <c r="L50" s="178"/>
      <c r="M50" s="178"/>
      <c r="N50" s="178"/>
      <c r="O50" s="167"/>
      <c r="P50" s="170"/>
      <c r="Q50" s="170"/>
      <c r="R50" s="170"/>
      <c r="S50" s="170"/>
      <c r="T50" s="170"/>
      <c r="U50" s="170"/>
      <c r="V50" s="170"/>
      <c r="W50" s="170"/>
      <c r="X50" s="170"/>
      <c r="Y50" s="170"/>
      <c r="Z50" s="170"/>
      <c r="AA50" s="170"/>
    </row>
    <row r="51">
      <c r="A51" s="152"/>
      <c r="B51" s="71"/>
      <c r="C51" s="234"/>
      <c r="D51" s="146"/>
      <c r="E51" s="146"/>
      <c r="F51" s="146"/>
      <c r="G51" s="146"/>
      <c r="H51" s="146"/>
      <c r="I51" s="146"/>
      <c r="J51" s="146"/>
      <c r="K51" s="146"/>
      <c r="L51" s="146"/>
      <c r="M51" s="146"/>
      <c r="N51" s="146"/>
      <c r="O51" s="145"/>
      <c r="P51" s="151"/>
      <c r="Q51" s="151"/>
      <c r="R51" s="151"/>
      <c r="S51" s="151"/>
      <c r="T51" s="151"/>
      <c r="U51" s="151"/>
      <c r="V51" s="151"/>
      <c r="W51" s="151"/>
      <c r="X51" s="151"/>
      <c r="Y51" s="151"/>
      <c r="Z51" s="151"/>
      <c r="AA51" s="151"/>
    </row>
    <row r="52">
      <c r="A52" s="152"/>
      <c r="B52" s="71"/>
      <c r="C52" s="234"/>
      <c r="D52" s="146"/>
      <c r="E52" s="146"/>
      <c r="F52" s="146"/>
      <c r="G52" s="146"/>
      <c r="H52" s="146"/>
      <c r="I52" s="146"/>
      <c r="J52" s="146"/>
      <c r="K52" s="146"/>
      <c r="L52" s="146"/>
      <c r="M52" s="146"/>
      <c r="N52" s="146"/>
      <c r="O52" s="145"/>
      <c r="P52" s="151"/>
      <c r="Q52" s="151"/>
      <c r="R52" s="151"/>
      <c r="S52" s="151"/>
      <c r="T52" s="151"/>
      <c r="U52" s="151"/>
      <c r="V52" s="151"/>
      <c r="W52" s="151"/>
      <c r="X52" s="151"/>
      <c r="Y52" s="151"/>
      <c r="Z52" s="151"/>
      <c r="AA52" s="151"/>
    </row>
    <row r="53">
      <c r="A53" s="152"/>
      <c r="B53" s="71"/>
      <c r="C53" s="234"/>
      <c r="D53" s="146"/>
      <c r="E53" s="146"/>
      <c r="F53" s="146"/>
      <c r="G53" s="146"/>
      <c r="H53" s="146"/>
      <c r="I53" s="146"/>
      <c r="J53" s="146"/>
      <c r="K53" s="146"/>
      <c r="L53" s="146"/>
      <c r="M53" s="146"/>
      <c r="N53" s="146"/>
      <c r="O53" s="145"/>
      <c r="P53" s="151"/>
      <c r="Q53" s="151"/>
      <c r="R53" s="151"/>
      <c r="S53" s="151"/>
      <c r="T53" s="151"/>
      <c r="U53" s="151"/>
      <c r="V53" s="151"/>
      <c r="W53" s="151"/>
      <c r="X53" s="151"/>
      <c r="Y53" s="151"/>
      <c r="Z53" s="151"/>
      <c r="AA53" s="151"/>
    </row>
    <row r="54">
      <c r="A54" s="152"/>
      <c r="B54" s="71"/>
      <c r="C54" s="234"/>
      <c r="D54" s="146"/>
      <c r="E54" s="146"/>
      <c r="F54" s="146"/>
      <c r="G54" s="146"/>
      <c r="H54" s="146"/>
      <c r="I54" s="146"/>
      <c r="J54" s="146"/>
      <c r="K54" s="146"/>
      <c r="L54" s="146"/>
      <c r="M54" s="146"/>
      <c r="N54" s="146"/>
      <c r="O54" s="145"/>
      <c r="P54" s="151"/>
      <c r="Q54" s="151"/>
      <c r="R54" s="151"/>
      <c r="S54" s="151"/>
      <c r="T54" s="151"/>
      <c r="U54" s="151"/>
      <c r="V54" s="151"/>
      <c r="W54" s="151"/>
      <c r="X54" s="151"/>
      <c r="Y54" s="151"/>
      <c r="Z54" s="151"/>
      <c r="AA54" s="151"/>
    </row>
    <row r="55">
      <c r="A55" s="105"/>
      <c r="B55" s="74"/>
      <c r="C55" s="183"/>
      <c r="D55" s="162"/>
      <c r="E55" s="162"/>
      <c r="F55" s="162"/>
      <c r="G55" s="162"/>
      <c r="H55" s="162"/>
      <c r="I55" s="162"/>
      <c r="J55" s="162"/>
      <c r="K55" s="162"/>
      <c r="L55" s="162"/>
      <c r="M55" s="162"/>
      <c r="N55" s="162"/>
      <c r="O55" s="172"/>
      <c r="P55" s="164"/>
      <c r="Q55" s="164"/>
      <c r="R55" s="164"/>
      <c r="S55" s="164"/>
      <c r="T55" s="164"/>
      <c r="U55" s="164"/>
      <c r="V55" s="164"/>
      <c r="W55" s="164"/>
      <c r="X55" s="164"/>
      <c r="Y55" s="164"/>
      <c r="Z55" s="164"/>
      <c r="AA55" s="164"/>
    </row>
    <row r="56">
      <c r="A56" s="237" t="s">
        <v>95</v>
      </c>
      <c r="B56" s="166"/>
      <c r="C56" s="238"/>
      <c r="D56" s="239"/>
      <c r="E56" s="239"/>
      <c r="F56" s="239"/>
      <c r="G56" s="239"/>
      <c r="H56" s="239"/>
      <c r="I56" s="239"/>
      <c r="J56" s="239"/>
      <c r="K56" s="239"/>
      <c r="L56" s="239"/>
      <c r="M56" s="239"/>
      <c r="N56" s="239"/>
      <c r="O56" s="240"/>
      <c r="P56" s="170"/>
      <c r="Q56" s="170"/>
      <c r="R56" s="170"/>
      <c r="S56" s="170"/>
      <c r="T56" s="170"/>
      <c r="U56" s="170"/>
      <c r="V56" s="170"/>
      <c r="W56" s="170"/>
      <c r="X56" s="170"/>
      <c r="Y56" s="170"/>
      <c r="Z56" s="170"/>
      <c r="AA56" s="170"/>
    </row>
    <row r="57">
      <c r="A57" s="152"/>
      <c r="B57" s="71"/>
      <c r="C57" s="241"/>
      <c r="D57" s="161"/>
      <c r="E57" s="161"/>
      <c r="F57" s="161"/>
      <c r="G57" s="161"/>
      <c r="H57" s="161"/>
      <c r="I57" s="161"/>
      <c r="J57" s="161"/>
      <c r="K57" s="161"/>
      <c r="L57" s="161"/>
      <c r="M57" s="161"/>
      <c r="N57" s="161"/>
      <c r="O57" s="219"/>
      <c r="P57" s="151"/>
      <c r="Q57" s="151"/>
      <c r="R57" s="151"/>
      <c r="S57" s="151"/>
      <c r="T57" s="151"/>
      <c r="U57" s="151"/>
      <c r="V57" s="151"/>
      <c r="W57" s="151"/>
      <c r="X57" s="151"/>
      <c r="Y57" s="151"/>
      <c r="Z57" s="151"/>
      <c r="AA57" s="151"/>
    </row>
    <row r="58">
      <c r="A58" s="152"/>
      <c r="B58" s="71"/>
      <c r="C58" s="241"/>
      <c r="D58" s="161"/>
      <c r="E58" s="161"/>
      <c r="F58" s="161"/>
      <c r="G58" s="161"/>
      <c r="H58" s="161"/>
      <c r="I58" s="161"/>
      <c r="J58" s="161"/>
      <c r="K58" s="161"/>
      <c r="L58" s="161"/>
      <c r="M58" s="161"/>
      <c r="N58" s="161"/>
      <c r="O58" s="219"/>
      <c r="P58" s="151"/>
      <c r="Q58" s="151"/>
      <c r="R58" s="151"/>
      <c r="S58" s="151"/>
      <c r="T58" s="151"/>
      <c r="U58" s="151"/>
      <c r="V58" s="151"/>
      <c r="W58" s="151"/>
      <c r="X58" s="151"/>
      <c r="Y58" s="151"/>
      <c r="Z58" s="151"/>
      <c r="AA58" s="151"/>
    </row>
    <row r="59">
      <c r="A59" s="152"/>
      <c r="B59" s="71"/>
      <c r="C59" s="241"/>
      <c r="D59" s="161"/>
      <c r="E59" s="161"/>
      <c r="F59" s="161"/>
      <c r="G59" s="161"/>
      <c r="H59" s="161"/>
      <c r="I59" s="161"/>
      <c r="J59" s="161"/>
      <c r="K59" s="161"/>
      <c r="L59" s="161"/>
      <c r="M59" s="161"/>
      <c r="N59" s="161"/>
      <c r="O59" s="219"/>
      <c r="P59" s="151"/>
      <c r="Q59" s="151"/>
      <c r="R59" s="151"/>
      <c r="S59" s="151"/>
      <c r="T59" s="151"/>
      <c r="U59" s="151"/>
      <c r="V59" s="151"/>
      <c r="W59" s="151"/>
      <c r="X59" s="151"/>
      <c r="Y59" s="151"/>
      <c r="Z59" s="151"/>
      <c r="AA59" s="151"/>
    </row>
    <row r="60">
      <c r="A60" s="152"/>
      <c r="B60" s="71"/>
      <c r="C60" s="241"/>
      <c r="D60" s="161"/>
      <c r="E60" s="161"/>
      <c r="F60" s="161"/>
      <c r="G60" s="161"/>
      <c r="H60" s="161"/>
      <c r="I60" s="161"/>
      <c r="J60" s="161"/>
      <c r="K60" s="161"/>
      <c r="L60" s="161"/>
      <c r="M60" s="161"/>
      <c r="N60" s="161"/>
      <c r="O60" s="219"/>
      <c r="P60" s="151"/>
      <c r="Q60" s="151"/>
      <c r="R60" s="151"/>
      <c r="S60" s="151"/>
      <c r="T60" s="151"/>
      <c r="U60" s="151"/>
      <c r="V60" s="151"/>
      <c r="W60" s="151"/>
      <c r="X60" s="151"/>
      <c r="Y60" s="151"/>
      <c r="Z60" s="151"/>
      <c r="AA60" s="151"/>
    </row>
    <row r="61">
      <c r="A61" s="105"/>
      <c r="B61" s="74"/>
      <c r="C61" s="242"/>
      <c r="D61" s="162"/>
      <c r="E61" s="162"/>
      <c r="F61" s="162"/>
      <c r="G61" s="162"/>
      <c r="H61" s="162"/>
      <c r="I61" s="162"/>
      <c r="J61" s="162"/>
      <c r="K61" s="162"/>
      <c r="L61" s="162"/>
      <c r="M61" s="162"/>
      <c r="N61" s="162"/>
      <c r="O61" s="172"/>
      <c r="P61" s="164"/>
      <c r="Q61" s="164"/>
      <c r="R61" s="164"/>
      <c r="S61" s="164"/>
      <c r="T61" s="164"/>
      <c r="U61" s="164"/>
      <c r="V61" s="164"/>
      <c r="W61" s="164"/>
      <c r="X61" s="164"/>
      <c r="Y61" s="164"/>
      <c r="Z61" s="164"/>
      <c r="AA61" s="164"/>
    </row>
    <row r="62">
      <c r="A62" s="237" t="s">
        <v>285</v>
      </c>
      <c r="B62" s="166"/>
      <c r="C62" s="238"/>
      <c r="D62" s="239"/>
      <c r="E62" s="239"/>
      <c r="F62" s="239"/>
      <c r="G62" s="239"/>
      <c r="H62" s="239"/>
      <c r="I62" s="239"/>
      <c r="J62" s="239"/>
      <c r="K62" s="239"/>
      <c r="L62" s="239"/>
      <c r="M62" s="239"/>
      <c r="N62" s="239"/>
      <c r="O62" s="240"/>
      <c r="P62" s="170"/>
      <c r="Q62" s="170"/>
      <c r="R62" s="170"/>
      <c r="S62" s="170"/>
      <c r="T62" s="170"/>
      <c r="U62" s="170"/>
      <c r="V62" s="170"/>
      <c r="W62" s="170"/>
      <c r="X62" s="170"/>
      <c r="Y62" s="170"/>
      <c r="Z62" s="170"/>
      <c r="AA62" s="170"/>
    </row>
    <row r="63">
      <c r="A63" s="152"/>
      <c r="B63" s="71"/>
      <c r="C63" s="241"/>
      <c r="D63" s="161"/>
      <c r="E63" s="161"/>
      <c r="F63" s="161"/>
      <c r="G63" s="161"/>
      <c r="H63" s="161"/>
      <c r="I63" s="161"/>
      <c r="J63" s="161"/>
      <c r="K63" s="161"/>
      <c r="L63" s="161"/>
      <c r="M63" s="161"/>
      <c r="N63" s="161"/>
      <c r="O63" s="219"/>
      <c r="P63" s="151"/>
      <c r="Q63" s="151"/>
      <c r="R63" s="151"/>
      <c r="S63" s="151"/>
      <c r="T63" s="151"/>
      <c r="U63" s="151"/>
      <c r="V63" s="151"/>
      <c r="W63" s="151"/>
      <c r="X63" s="151"/>
      <c r="Y63" s="151"/>
      <c r="Z63" s="151"/>
      <c r="AA63" s="151"/>
    </row>
    <row r="64">
      <c r="A64" s="152"/>
      <c r="B64" s="71"/>
      <c r="C64" s="241"/>
      <c r="D64" s="161"/>
      <c r="E64" s="161"/>
      <c r="F64" s="161"/>
      <c r="G64" s="161"/>
      <c r="H64" s="161"/>
      <c r="I64" s="161"/>
      <c r="J64" s="161"/>
      <c r="K64" s="161"/>
      <c r="L64" s="161"/>
      <c r="M64" s="161"/>
      <c r="N64" s="161"/>
      <c r="O64" s="219"/>
      <c r="P64" s="151"/>
      <c r="Q64" s="151"/>
      <c r="R64" s="151"/>
      <c r="S64" s="151"/>
      <c r="T64" s="151"/>
      <c r="U64" s="151"/>
      <c r="V64" s="151"/>
      <c r="W64" s="151"/>
      <c r="X64" s="151"/>
      <c r="Y64" s="151"/>
      <c r="Z64" s="151"/>
      <c r="AA64" s="151"/>
    </row>
    <row r="65">
      <c r="A65" s="152"/>
      <c r="B65" s="71"/>
      <c r="C65" s="241"/>
      <c r="D65" s="161"/>
      <c r="E65" s="161"/>
      <c r="F65" s="161"/>
      <c r="G65" s="161"/>
      <c r="H65" s="161"/>
      <c r="I65" s="161"/>
      <c r="J65" s="161"/>
      <c r="K65" s="161"/>
      <c r="L65" s="161"/>
      <c r="M65" s="161"/>
      <c r="N65" s="161"/>
      <c r="O65" s="219"/>
      <c r="P65" s="151"/>
      <c r="Q65" s="151"/>
      <c r="R65" s="151"/>
      <c r="S65" s="151"/>
      <c r="T65" s="151"/>
      <c r="U65" s="151"/>
      <c r="V65" s="151"/>
      <c r="W65" s="151"/>
      <c r="X65" s="151"/>
      <c r="Y65" s="151"/>
      <c r="Z65" s="151"/>
      <c r="AA65" s="151"/>
    </row>
    <row r="66">
      <c r="A66" s="152"/>
      <c r="B66" s="71"/>
      <c r="C66" s="241"/>
      <c r="D66" s="161"/>
      <c r="E66" s="161"/>
      <c r="F66" s="161"/>
      <c r="G66" s="161"/>
      <c r="H66" s="161"/>
      <c r="I66" s="161"/>
      <c r="J66" s="161"/>
      <c r="K66" s="161"/>
      <c r="L66" s="161"/>
      <c r="M66" s="161"/>
      <c r="N66" s="161"/>
      <c r="O66" s="219"/>
      <c r="P66" s="151"/>
      <c r="Q66" s="151"/>
      <c r="R66" s="151"/>
      <c r="S66" s="151"/>
      <c r="T66" s="151"/>
      <c r="U66" s="151"/>
      <c r="V66" s="151"/>
      <c r="W66" s="151"/>
      <c r="X66" s="151"/>
      <c r="Y66" s="151"/>
      <c r="Z66" s="151"/>
      <c r="AA66" s="151"/>
    </row>
    <row r="67">
      <c r="A67" s="105"/>
      <c r="B67" s="74"/>
      <c r="C67" s="242"/>
      <c r="D67" s="162"/>
      <c r="E67" s="162"/>
      <c r="F67" s="162"/>
      <c r="G67" s="162"/>
      <c r="H67" s="162"/>
      <c r="I67" s="162"/>
      <c r="J67" s="162"/>
      <c r="K67" s="162"/>
      <c r="L67" s="162"/>
      <c r="M67" s="162"/>
      <c r="N67" s="162"/>
      <c r="O67" s="172"/>
      <c r="P67" s="164"/>
      <c r="Q67" s="164"/>
      <c r="R67" s="164"/>
      <c r="S67" s="164"/>
      <c r="T67" s="164"/>
      <c r="U67" s="164"/>
      <c r="V67" s="164"/>
      <c r="W67" s="164"/>
      <c r="X67" s="164"/>
      <c r="Y67" s="164"/>
      <c r="Z67" s="164"/>
      <c r="AA67" s="164"/>
    </row>
    <row r="68">
      <c r="A68" s="102" t="s">
        <v>147</v>
      </c>
      <c r="B68" s="166" t="s">
        <v>286</v>
      </c>
      <c r="C68" s="235"/>
      <c r="D68" s="178"/>
      <c r="E68" s="178"/>
      <c r="F68" s="178"/>
      <c r="G68" s="178"/>
      <c r="H68" s="178"/>
      <c r="I68" s="178"/>
      <c r="J68" s="178"/>
      <c r="K68" s="178"/>
      <c r="L68" s="178"/>
      <c r="M68" s="178"/>
      <c r="N68" s="178"/>
      <c r="O68" s="167"/>
      <c r="P68" s="170"/>
      <c r="Q68" s="170"/>
      <c r="R68" s="170"/>
      <c r="S68" s="170"/>
      <c r="T68" s="170"/>
      <c r="U68" s="170"/>
      <c r="V68" s="170"/>
      <c r="W68" s="170"/>
      <c r="X68" s="170"/>
      <c r="Y68" s="170"/>
      <c r="Z68" s="170"/>
      <c r="AA68" s="170"/>
    </row>
    <row r="69">
      <c r="A69" s="152"/>
      <c r="B69" s="71"/>
      <c r="C69" s="234"/>
      <c r="D69" s="146"/>
      <c r="E69" s="146"/>
      <c r="F69" s="146"/>
      <c r="G69" s="146"/>
      <c r="H69" s="146"/>
      <c r="I69" s="146"/>
      <c r="J69" s="146"/>
      <c r="K69" s="146"/>
      <c r="L69" s="146"/>
      <c r="M69" s="146"/>
      <c r="N69" s="146"/>
      <c r="O69" s="145"/>
      <c r="P69" s="151"/>
      <c r="Q69" s="151"/>
      <c r="R69" s="151"/>
      <c r="S69" s="151"/>
      <c r="T69" s="151"/>
      <c r="U69" s="151"/>
      <c r="V69" s="151"/>
      <c r="W69" s="151"/>
      <c r="X69" s="151"/>
      <c r="Y69" s="151"/>
      <c r="Z69" s="151"/>
      <c r="AA69" s="151"/>
    </row>
    <row r="70">
      <c r="A70" s="152"/>
      <c r="B70" s="71"/>
      <c r="C70" s="234"/>
      <c r="D70" s="146"/>
      <c r="E70" s="146"/>
      <c r="F70" s="146"/>
      <c r="G70" s="146"/>
      <c r="H70" s="146"/>
      <c r="I70" s="146"/>
      <c r="J70" s="146"/>
      <c r="K70" s="146"/>
      <c r="L70" s="146"/>
      <c r="M70" s="146"/>
      <c r="N70" s="146"/>
      <c r="O70" s="145"/>
      <c r="P70" s="151"/>
      <c r="Q70" s="151"/>
      <c r="R70" s="151"/>
      <c r="S70" s="151"/>
      <c r="T70" s="151"/>
      <c r="U70" s="151"/>
      <c r="V70" s="151"/>
      <c r="W70" s="151"/>
      <c r="X70" s="151"/>
      <c r="Y70" s="151"/>
      <c r="Z70" s="151"/>
      <c r="AA70" s="151"/>
    </row>
    <row r="71">
      <c r="A71" s="152"/>
      <c r="B71" s="71"/>
      <c r="C71" s="234"/>
      <c r="D71" s="146"/>
      <c r="E71" s="146"/>
      <c r="F71" s="146"/>
      <c r="G71" s="146"/>
      <c r="H71" s="146"/>
      <c r="I71" s="146"/>
      <c r="J71" s="146"/>
      <c r="K71" s="146"/>
      <c r="L71" s="146"/>
      <c r="M71" s="146"/>
      <c r="N71" s="146"/>
      <c r="O71" s="145"/>
      <c r="P71" s="151"/>
      <c r="Q71" s="151"/>
      <c r="R71" s="151"/>
      <c r="S71" s="151"/>
      <c r="T71" s="151"/>
      <c r="U71" s="151"/>
      <c r="V71" s="151"/>
      <c r="W71" s="151"/>
      <c r="X71" s="151"/>
      <c r="Y71" s="151"/>
      <c r="Z71" s="151"/>
      <c r="AA71" s="151"/>
    </row>
    <row r="72">
      <c r="A72" s="152"/>
      <c r="B72" s="71"/>
      <c r="C72" s="234"/>
      <c r="D72" s="146"/>
      <c r="E72" s="146"/>
      <c r="F72" s="146"/>
      <c r="G72" s="146"/>
      <c r="H72" s="146"/>
      <c r="I72" s="146"/>
      <c r="J72" s="146"/>
      <c r="K72" s="146"/>
      <c r="L72" s="146"/>
      <c r="M72" s="146"/>
      <c r="N72" s="146"/>
      <c r="O72" s="145"/>
      <c r="P72" s="151"/>
      <c r="Q72" s="151"/>
      <c r="R72" s="151"/>
      <c r="S72" s="151"/>
      <c r="T72" s="151"/>
      <c r="U72" s="151"/>
      <c r="V72" s="151"/>
      <c r="W72" s="151"/>
      <c r="X72" s="151"/>
      <c r="Y72" s="151"/>
      <c r="Z72" s="151"/>
      <c r="AA72" s="151"/>
    </row>
    <row r="73">
      <c r="A73" s="105"/>
      <c r="B73" s="74"/>
      <c r="C73" s="183"/>
      <c r="D73" s="162"/>
      <c r="E73" s="162"/>
      <c r="F73" s="162"/>
      <c r="G73" s="162"/>
      <c r="H73" s="162"/>
      <c r="I73" s="162"/>
      <c r="J73" s="162"/>
      <c r="K73" s="162"/>
      <c r="L73" s="162"/>
      <c r="M73" s="162"/>
      <c r="N73" s="162"/>
      <c r="O73" s="172"/>
      <c r="P73" s="164"/>
      <c r="Q73" s="164"/>
      <c r="R73" s="164"/>
      <c r="S73" s="164"/>
      <c r="T73" s="164"/>
      <c r="U73" s="164"/>
      <c r="V73" s="164"/>
      <c r="W73" s="164"/>
      <c r="X73" s="164"/>
      <c r="Y73" s="164"/>
      <c r="Z73" s="164"/>
      <c r="AA73" s="164"/>
    </row>
    <row r="74">
      <c r="A74" s="102" t="s">
        <v>65</v>
      </c>
      <c r="B74" s="166" t="s">
        <v>287</v>
      </c>
      <c r="C74" s="235" t="s">
        <v>288</v>
      </c>
      <c r="D74" s="178" t="s">
        <v>231</v>
      </c>
      <c r="E74" s="178" t="s">
        <v>289</v>
      </c>
      <c r="F74" s="178"/>
      <c r="G74" s="178"/>
      <c r="H74" s="178"/>
      <c r="I74" s="178"/>
      <c r="J74" s="178"/>
      <c r="K74" s="178"/>
      <c r="L74" s="178"/>
      <c r="M74" s="178"/>
      <c r="N74" s="178"/>
      <c r="O74" s="167"/>
      <c r="P74" s="151"/>
      <c r="Q74" s="151"/>
      <c r="R74" s="151"/>
      <c r="S74" s="151"/>
      <c r="T74" s="151"/>
      <c r="U74" s="151"/>
      <c r="V74" s="151"/>
      <c r="W74" s="151"/>
      <c r="X74" s="151"/>
      <c r="Y74" s="151"/>
      <c r="Z74" s="151"/>
      <c r="AA74" s="151"/>
    </row>
    <row r="75">
      <c r="A75" s="152"/>
      <c r="B75" s="71"/>
      <c r="C75" s="234" t="s">
        <v>290</v>
      </c>
      <c r="D75" s="146" t="s">
        <v>231</v>
      </c>
      <c r="E75" s="146" t="s">
        <v>289</v>
      </c>
      <c r="F75" s="146"/>
      <c r="G75" s="146"/>
      <c r="H75" s="146"/>
      <c r="I75" s="146"/>
      <c r="J75" s="146"/>
      <c r="K75" s="146"/>
      <c r="L75" s="146"/>
      <c r="M75" s="146"/>
      <c r="N75" s="146"/>
      <c r="O75" s="145"/>
      <c r="P75" s="151"/>
      <c r="Q75" s="151"/>
      <c r="R75" s="151"/>
      <c r="S75" s="151"/>
      <c r="T75" s="151"/>
      <c r="U75" s="151"/>
      <c r="V75" s="151"/>
      <c r="W75" s="151"/>
      <c r="X75" s="151"/>
      <c r="Y75" s="151"/>
      <c r="Z75" s="151"/>
      <c r="AA75" s="151"/>
    </row>
    <row r="76">
      <c r="A76" s="152"/>
      <c r="B76" s="71"/>
      <c r="C76" s="234" t="s">
        <v>291</v>
      </c>
      <c r="D76" s="146" t="s">
        <v>231</v>
      </c>
      <c r="E76" s="146" t="s">
        <v>292</v>
      </c>
      <c r="F76" s="146"/>
      <c r="G76" s="146"/>
      <c r="H76" s="146"/>
      <c r="I76" s="146"/>
      <c r="J76" s="146"/>
      <c r="K76" s="146"/>
      <c r="L76" s="146"/>
      <c r="M76" s="146"/>
      <c r="N76" s="146"/>
      <c r="O76" s="145"/>
      <c r="P76" s="151"/>
      <c r="Q76" s="151"/>
      <c r="R76" s="151"/>
      <c r="S76" s="151"/>
      <c r="T76" s="151"/>
      <c r="U76" s="151"/>
      <c r="V76" s="151"/>
      <c r="W76" s="151"/>
      <c r="X76" s="151"/>
      <c r="Y76" s="151"/>
      <c r="Z76" s="151"/>
      <c r="AA76" s="151"/>
    </row>
    <row r="77">
      <c r="A77" s="152"/>
      <c r="B77" s="71"/>
      <c r="C77" s="234" t="s">
        <v>293</v>
      </c>
      <c r="D77" s="146" t="s">
        <v>156</v>
      </c>
      <c r="E77" s="146">
        <v>0.7</v>
      </c>
      <c r="F77" s="146"/>
      <c r="G77" s="146"/>
      <c r="H77" s="146"/>
      <c r="I77" s="146"/>
      <c r="J77" s="146"/>
      <c r="K77" s="146"/>
      <c r="L77" s="146"/>
      <c r="M77" s="146"/>
      <c r="N77" s="146"/>
      <c r="O77" s="145"/>
      <c r="P77" s="151"/>
      <c r="Q77" s="151"/>
      <c r="R77" s="151"/>
      <c r="S77" s="151"/>
      <c r="T77" s="151"/>
      <c r="U77" s="151"/>
      <c r="V77" s="151"/>
      <c r="W77" s="151"/>
      <c r="X77" s="151"/>
      <c r="Y77" s="151"/>
      <c r="Z77" s="151"/>
      <c r="AA77" s="151"/>
    </row>
    <row r="78">
      <c r="A78" s="152"/>
      <c r="B78" s="71"/>
      <c r="C78" s="234" t="s">
        <v>294</v>
      </c>
      <c r="D78" s="146" t="s">
        <v>176</v>
      </c>
      <c r="E78" s="146" t="s">
        <v>292</v>
      </c>
      <c r="F78" s="146"/>
      <c r="G78" s="146"/>
      <c r="H78" s="146"/>
      <c r="I78" s="146"/>
      <c r="J78" s="146"/>
      <c r="K78" s="146"/>
      <c r="L78" s="146"/>
      <c r="M78" s="146"/>
      <c r="N78" s="146"/>
      <c r="O78" s="145"/>
      <c r="P78" s="151"/>
      <c r="Q78" s="151"/>
      <c r="R78" s="151"/>
      <c r="S78" s="151"/>
      <c r="T78" s="151"/>
      <c r="U78" s="151"/>
      <c r="V78" s="151"/>
      <c r="W78" s="151"/>
      <c r="X78" s="151"/>
      <c r="Y78" s="151"/>
      <c r="Z78" s="151"/>
      <c r="AA78" s="151"/>
    </row>
    <row r="79">
      <c r="A79" s="152"/>
      <c r="B79" s="71"/>
      <c r="C79" s="234" t="s">
        <v>295</v>
      </c>
      <c r="D79" s="146" t="s">
        <v>176</v>
      </c>
      <c r="E79" s="146" t="s">
        <v>292</v>
      </c>
      <c r="F79" s="146"/>
      <c r="G79" s="146"/>
      <c r="H79" s="146"/>
      <c r="I79" s="146"/>
      <c r="J79" s="146"/>
      <c r="K79" s="146"/>
      <c r="L79" s="146"/>
      <c r="M79" s="146"/>
      <c r="N79" s="146"/>
      <c r="O79" s="145"/>
      <c r="P79" s="151"/>
      <c r="Q79" s="151"/>
      <c r="R79" s="151"/>
      <c r="S79" s="151"/>
      <c r="T79" s="151"/>
      <c r="U79" s="151"/>
      <c r="V79" s="151"/>
      <c r="W79" s="151"/>
      <c r="X79" s="151"/>
      <c r="Y79" s="151"/>
      <c r="Z79" s="151"/>
      <c r="AA79" s="151"/>
    </row>
    <row r="80">
      <c r="A80" s="152"/>
      <c r="B80" s="71"/>
      <c r="C80" s="234" t="s">
        <v>296</v>
      </c>
      <c r="D80" s="146" t="s">
        <v>176</v>
      </c>
      <c r="E80" s="146" t="s">
        <v>297</v>
      </c>
      <c r="F80" s="146"/>
      <c r="G80" s="146"/>
      <c r="H80" s="146"/>
      <c r="I80" s="146"/>
      <c r="J80" s="146"/>
      <c r="K80" s="146"/>
      <c r="L80" s="146"/>
      <c r="M80" s="146"/>
      <c r="N80" s="146"/>
      <c r="O80" s="145"/>
      <c r="P80" s="151"/>
      <c r="Q80" s="151"/>
      <c r="R80" s="151"/>
      <c r="S80" s="151"/>
      <c r="T80" s="151"/>
      <c r="U80" s="151"/>
      <c r="V80" s="151"/>
      <c r="W80" s="151"/>
      <c r="X80" s="151"/>
      <c r="Y80" s="151"/>
      <c r="Z80" s="151"/>
      <c r="AA80" s="151"/>
    </row>
    <row r="81">
      <c r="A81" s="152"/>
      <c r="B81" s="71"/>
      <c r="C81" s="234" t="s">
        <v>298</v>
      </c>
      <c r="D81" s="146" t="s">
        <v>156</v>
      </c>
      <c r="E81" s="146" t="s">
        <v>299</v>
      </c>
      <c r="F81" s="146"/>
      <c r="G81" s="146"/>
      <c r="H81" s="146"/>
      <c r="I81" s="146"/>
      <c r="J81" s="161"/>
      <c r="K81" s="161"/>
      <c r="L81" s="161"/>
      <c r="M81" s="161"/>
      <c r="N81" s="161"/>
      <c r="O81" s="219"/>
      <c r="P81" s="151"/>
      <c r="Q81" s="151"/>
      <c r="R81" s="151"/>
      <c r="S81" s="151"/>
      <c r="T81" s="151"/>
      <c r="U81" s="151"/>
      <c r="V81" s="151"/>
      <c r="W81" s="151"/>
      <c r="X81" s="151"/>
      <c r="Y81" s="151"/>
      <c r="Z81" s="151"/>
      <c r="AA81" s="151"/>
    </row>
    <row r="82">
      <c r="A82" s="105"/>
      <c r="B82" s="74"/>
      <c r="C82" s="243" t="s">
        <v>300</v>
      </c>
      <c r="D82" s="162" t="s">
        <v>176</v>
      </c>
      <c r="E82" s="162" t="s">
        <v>297</v>
      </c>
      <c r="F82" s="162"/>
      <c r="G82" s="162"/>
      <c r="H82" s="162"/>
      <c r="I82" s="162"/>
      <c r="J82" s="162"/>
      <c r="K82" s="162"/>
      <c r="L82" s="162"/>
      <c r="M82" s="162"/>
      <c r="N82" s="162"/>
      <c r="O82" s="172"/>
      <c r="P82" s="164"/>
      <c r="Q82" s="164"/>
      <c r="R82" s="164"/>
      <c r="S82" s="164"/>
      <c r="T82" s="164"/>
      <c r="U82" s="164"/>
      <c r="V82" s="164"/>
      <c r="W82" s="164"/>
      <c r="X82" s="164"/>
      <c r="Y82" s="164"/>
      <c r="Z82" s="164"/>
      <c r="AA82" s="164"/>
    </row>
    <row r="83">
      <c r="A83" s="102" t="s">
        <v>74</v>
      </c>
      <c r="B83" s="166" t="s">
        <v>301</v>
      </c>
      <c r="C83" s="235" t="s">
        <v>302</v>
      </c>
      <c r="D83" s="178" t="s">
        <v>156</v>
      </c>
      <c r="E83" s="244">
        <v>0.0</v>
      </c>
      <c r="F83" s="244"/>
      <c r="G83" s="244"/>
      <c r="H83" s="244"/>
      <c r="I83" s="244"/>
      <c r="J83" s="178"/>
      <c r="K83" s="178"/>
      <c r="L83" s="178"/>
      <c r="M83" s="178"/>
      <c r="N83" s="178"/>
      <c r="O83" s="167"/>
      <c r="P83" s="151"/>
      <c r="Q83" s="151"/>
      <c r="R83" s="151"/>
      <c r="S83" s="151"/>
      <c r="T83" s="151"/>
      <c r="U83" s="151"/>
      <c r="V83" s="151"/>
      <c r="W83" s="151"/>
      <c r="X83" s="151"/>
      <c r="Y83" s="151"/>
      <c r="Z83" s="151"/>
      <c r="AA83" s="151"/>
    </row>
    <row r="84">
      <c r="A84" s="152"/>
      <c r="B84" s="71"/>
      <c r="C84" s="234" t="s">
        <v>303</v>
      </c>
      <c r="D84" s="146" t="s">
        <v>176</v>
      </c>
      <c r="E84" s="245">
        <v>0.05</v>
      </c>
      <c r="F84" s="245"/>
      <c r="G84" s="245"/>
      <c r="H84" s="245"/>
      <c r="I84" s="245"/>
      <c r="J84" s="146"/>
      <c r="K84" s="146"/>
      <c r="L84" s="146"/>
      <c r="M84" s="146"/>
      <c r="N84" s="146"/>
      <c r="O84" s="145"/>
      <c r="P84" s="151"/>
      <c r="Q84" s="151"/>
      <c r="R84" s="151"/>
      <c r="S84" s="151"/>
      <c r="T84" s="151"/>
      <c r="U84" s="151"/>
      <c r="V84" s="151"/>
      <c r="W84" s="151"/>
      <c r="X84" s="151"/>
      <c r="Y84" s="151"/>
      <c r="Z84" s="151"/>
      <c r="AA84" s="151"/>
    </row>
    <row r="85">
      <c r="A85" s="152"/>
      <c r="B85" s="71"/>
      <c r="C85" s="234" t="s">
        <v>304</v>
      </c>
      <c r="D85" s="146" t="s">
        <v>305</v>
      </c>
      <c r="E85" s="245">
        <v>0.05</v>
      </c>
      <c r="F85" s="245"/>
      <c r="G85" s="245"/>
      <c r="H85" s="245"/>
      <c r="I85" s="245"/>
      <c r="J85" s="146"/>
      <c r="K85" s="146"/>
      <c r="L85" s="146"/>
      <c r="M85" s="146"/>
      <c r="N85" s="146"/>
      <c r="O85" s="145"/>
      <c r="P85" s="151"/>
      <c r="Q85" s="151"/>
      <c r="R85" s="151"/>
      <c r="S85" s="151"/>
      <c r="T85" s="151"/>
      <c r="U85" s="151"/>
      <c r="V85" s="151"/>
      <c r="W85" s="151"/>
      <c r="X85" s="151"/>
      <c r="Y85" s="151"/>
      <c r="Z85" s="151"/>
      <c r="AA85" s="151"/>
    </row>
    <row r="86">
      <c r="A86" s="152"/>
      <c r="B86" s="71"/>
      <c r="C86" s="234"/>
      <c r="D86" s="146"/>
      <c r="E86" s="146"/>
      <c r="F86" s="146"/>
      <c r="G86" s="146"/>
      <c r="H86" s="146"/>
      <c r="I86" s="146"/>
      <c r="J86" s="146"/>
      <c r="K86" s="146"/>
      <c r="L86" s="146"/>
      <c r="M86" s="146"/>
      <c r="N86" s="146"/>
      <c r="O86" s="145"/>
      <c r="P86" s="151"/>
      <c r="Q86" s="151"/>
      <c r="R86" s="151"/>
      <c r="S86" s="151"/>
      <c r="T86" s="151"/>
      <c r="U86" s="151"/>
      <c r="V86" s="151"/>
      <c r="W86" s="151"/>
      <c r="X86" s="151"/>
      <c r="Y86" s="151"/>
      <c r="Z86" s="151"/>
      <c r="AA86" s="151"/>
    </row>
    <row r="87">
      <c r="A87" s="152"/>
      <c r="B87" s="71"/>
      <c r="C87" s="234"/>
      <c r="D87" s="146"/>
      <c r="E87" s="146"/>
      <c r="F87" s="146"/>
      <c r="G87" s="146"/>
      <c r="H87" s="146"/>
      <c r="I87" s="146"/>
      <c r="J87" s="146"/>
      <c r="K87" s="146"/>
      <c r="L87" s="146"/>
      <c r="M87" s="146"/>
      <c r="N87" s="146"/>
      <c r="O87" s="145"/>
      <c r="P87" s="151"/>
      <c r="Q87" s="151"/>
      <c r="R87" s="151"/>
      <c r="S87" s="151"/>
      <c r="T87" s="151"/>
      <c r="U87" s="151"/>
      <c r="V87" s="151"/>
      <c r="W87" s="151"/>
      <c r="X87" s="151"/>
      <c r="Y87" s="151"/>
      <c r="Z87" s="151"/>
      <c r="AA87" s="151"/>
    </row>
    <row r="88">
      <c r="A88" s="105"/>
      <c r="B88" s="74"/>
      <c r="C88" s="183"/>
      <c r="D88" s="162"/>
      <c r="E88" s="162"/>
      <c r="F88" s="162"/>
      <c r="G88" s="162"/>
      <c r="H88" s="162"/>
      <c r="I88" s="162"/>
      <c r="J88" s="162"/>
      <c r="K88" s="162"/>
      <c r="L88" s="162"/>
      <c r="M88" s="162"/>
      <c r="N88" s="162"/>
      <c r="O88" s="172"/>
      <c r="P88" s="164"/>
      <c r="Q88" s="164"/>
      <c r="R88" s="164"/>
      <c r="S88" s="164"/>
      <c r="T88" s="164"/>
      <c r="U88" s="164"/>
      <c r="V88" s="164"/>
      <c r="W88" s="164"/>
      <c r="X88" s="164"/>
      <c r="Y88" s="164"/>
      <c r="Z88" s="164"/>
      <c r="AA88" s="164"/>
    </row>
    <row r="89">
      <c r="A89" s="246" t="s">
        <v>306</v>
      </c>
      <c r="B89" s="166" t="s">
        <v>307</v>
      </c>
      <c r="C89" s="235" t="s">
        <v>308</v>
      </c>
      <c r="D89" s="167" t="s">
        <v>164</v>
      </c>
      <c r="E89" s="178"/>
      <c r="F89" s="235"/>
      <c r="G89" s="178"/>
      <c r="H89" s="178"/>
      <c r="I89" s="178"/>
      <c r="J89" s="178"/>
      <c r="K89" s="178"/>
      <c r="L89" s="178"/>
      <c r="M89" s="178"/>
      <c r="N89" s="178"/>
      <c r="O89" s="167"/>
      <c r="P89" s="151"/>
      <c r="Q89" s="151"/>
      <c r="R89" s="151"/>
      <c r="S89" s="151"/>
      <c r="T89" s="151"/>
      <c r="U89" s="151"/>
      <c r="V89" s="151"/>
      <c r="W89" s="151"/>
      <c r="X89" s="151"/>
      <c r="Y89" s="151"/>
      <c r="Z89" s="151"/>
      <c r="AA89" s="151"/>
    </row>
    <row r="90">
      <c r="A90" s="71"/>
      <c r="B90" s="71"/>
      <c r="C90" s="234" t="s">
        <v>309</v>
      </c>
      <c r="D90" s="145" t="s">
        <v>164</v>
      </c>
      <c r="E90" s="146"/>
      <c r="F90" s="234"/>
      <c r="G90" s="146"/>
      <c r="H90" s="146"/>
      <c r="I90" s="146"/>
      <c r="J90" s="146"/>
      <c r="K90" s="146"/>
      <c r="L90" s="146"/>
      <c r="M90" s="146"/>
      <c r="N90" s="146"/>
      <c r="O90" s="145"/>
      <c r="P90" s="151"/>
      <c r="Q90" s="151"/>
      <c r="R90" s="151"/>
      <c r="S90" s="151"/>
      <c r="T90" s="151"/>
      <c r="U90" s="151"/>
      <c r="V90" s="151"/>
      <c r="W90" s="151"/>
      <c r="X90" s="151"/>
      <c r="Y90" s="151"/>
      <c r="Z90" s="151"/>
      <c r="AA90" s="151"/>
    </row>
    <row r="91">
      <c r="A91" s="71"/>
      <c r="B91" s="71"/>
      <c r="C91" s="234" t="s">
        <v>310</v>
      </c>
      <c r="D91" s="145" t="s">
        <v>164</v>
      </c>
      <c r="E91" s="146"/>
      <c r="F91" s="234"/>
      <c r="G91" s="146"/>
      <c r="H91" s="146"/>
      <c r="I91" s="146"/>
      <c r="J91" s="146"/>
      <c r="K91" s="146"/>
      <c r="L91" s="146"/>
      <c r="M91" s="146"/>
      <c r="N91" s="146"/>
      <c r="O91" s="145"/>
      <c r="P91" s="151"/>
      <c r="Q91" s="151"/>
      <c r="R91" s="151"/>
      <c r="S91" s="151"/>
      <c r="T91" s="151"/>
      <c r="U91" s="151"/>
      <c r="V91" s="151"/>
      <c r="W91" s="151"/>
      <c r="X91" s="151"/>
      <c r="Y91" s="151"/>
      <c r="Z91" s="151"/>
      <c r="AA91" s="151"/>
    </row>
    <row r="92">
      <c r="A92" s="71"/>
      <c r="B92" s="71"/>
      <c r="C92" s="234" t="s">
        <v>311</v>
      </c>
      <c r="D92" s="145" t="s">
        <v>156</v>
      </c>
      <c r="E92" s="146"/>
      <c r="F92" s="234"/>
      <c r="G92" s="146"/>
      <c r="H92" s="146"/>
      <c r="I92" s="146"/>
      <c r="J92" s="146"/>
      <c r="K92" s="146"/>
      <c r="L92" s="146"/>
      <c r="M92" s="146"/>
      <c r="N92" s="146"/>
      <c r="O92" s="145"/>
      <c r="P92" s="151"/>
      <c r="Q92" s="151"/>
      <c r="R92" s="151"/>
      <c r="S92" s="151"/>
      <c r="T92" s="151"/>
      <c r="U92" s="151"/>
      <c r="V92" s="151"/>
      <c r="W92" s="151"/>
      <c r="X92" s="151"/>
      <c r="Y92" s="151"/>
      <c r="Z92" s="151"/>
      <c r="AA92" s="151"/>
    </row>
    <row r="93">
      <c r="A93" s="71"/>
      <c r="B93" s="71"/>
      <c r="C93" s="234" t="s">
        <v>163</v>
      </c>
      <c r="D93" s="145" t="s">
        <v>169</v>
      </c>
      <c r="E93" s="146"/>
      <c r="F93" s="234"/>
      <c r="G93" s="146"/>
      <c r="H93" s="146"/>
      <c r="I93" s="146"/>
      <c r="J93" s="146"/>
      <c r="K93" s="146"/>
      <c r="L93" s="146"/>
      <c r="M93" s="146"/>
      <c r="N93" s="146"/>
      <c r="O93" s="145"/>
      <c r="P93" s="151"/>
      <c r="Q93" s="151"/>
      <c r="R93" s="151"/>
      <c r="S93" s="151"/>
      <c r="T93" s="151"/>
      <c r="U93" s="151"/>
      <c r="V93" s="151"/>
      <c r="W93" s="151"/>
      <c r="X93" s="151"/>
      <c r="Y93" s="151"/>
      <c r="Z93" s="151"/>
      <c r="AA93" s="151"/>
    </row>
    <row r="94">
      <c r="A94" s="71"/>
      <c r="B94" s="71"/>
      <c r="C94" s="234" t="s">
        <v>312</v>
      </c>
      <c r="D94" s="145" t="s">
        <v>169</v>
      </c>
      <c r="E94" s="146"/>
      <c r="F94" s="234"/>
      <c r="G94" s="146"/>
      <c r="H94" s="146"/>
      <c r="I94" s="146"/>
      <c r="J94" s="146"/>
      <c r="K94" s="146"/>
      <c r="L94" s="146"/>
      <c r="M94" s="146"/>
      <c r="N94" s="146"/>
      <c r="O94" s="145"/>
      <c r="P94" s="151"/>
      <c r="Q94" s="151"/>
      <c r="R94" s="151"/>
      <c r="S94" s="151"/>
      <c r="T94" s="151"/>
      <c r="U94" s="151"/>
      <c r="V94" s="151"/>
      <c r="W94" s="151"/>
      <c r="X94" s="151"/>
      <c r="Y94" s="151"/>
      <c r="Z94" s="151"/>
      <c r="AA94" s="151"/>
    </row>
    <row r="95">
      <c r="A95" s="71"/>
      <c r="B95" s="71"/>
      <c r="C95" s="234" t="s">
        <v>313</v>
      </c>
      <c r="D95" s="145" t="s">
        <v>164</v>
      </c>
      <c r="E95" s="146"/>
      <c r="F95" s="234"/>
      <c r="G95" s="146"/>
      <c r="H95" s="146"/>
      <c r="I95" s="146"/>
      <c r="J95" s="146"/>
      <c r="K95" s="146"/>
      <c r="L95" s="146"/>
      <c r="M95" s="146"/>
      <c r="N95" s="146"/>
      <c r="O95" s="145"/>
      <c r="P95" s="151"/>
      <c r="Q95" s="151"/>
      <c r="R95" s="151"/>
      <c r="S95" s="151"/>
      <c r="T95" s="151"/>
      <c r="U95" s="151"/>
      <c r="V95" s="151"/>
      <c r="W95" s="151"/>
      <c r="X95" s="151"/>
      <c r="Y95" s="151"/>
      <c r="Z95" s="151"/>
      <c r="AA95" s="151"/>
    </row>
    <row r="96">
      <c r="A96" s="71"/>
      <c r="B96" s="71"/>
      <c r="C96" s="234" t="s">
        <v>192</v>
      </c>
      <c r="D96" s="145" t="s">
        <v>176</v>
      </c>
      <c r="E96" s="146"/>
      <c r="F96" s="234"/>
      <c r="G96" s="146"/>
      <c r="H96" s="146"/>
      <c r="I96" s="146"/>
      <c r="J96" s="146"/>
      <c r="K96" s="146"/>
      <c r="L96" s="146"/>
      <c r="M96" s="146"/>
      <c r="N96" s="146"/>
      <c r="O96" s="145"/>
      <c r="P96" s="151"/>
      <c r="Q96" s="151"/>
      <c r="R96" s="151"/>
      <c r="S96" s="151"/>
      <c r="T96" s="151"/>
      <c r="U96" s="151"/>
      <c r="V96" s="151"/>
      <c r="W96" s="151"/>
      <c r="X96" s="151"/>
      <c r="Y96" s="151"/>
      <c r="Z96" s="151"/>
      <c r="AA96" s="151"/>
    </row>
    <row r="97">
      <c r="A97" s="74"/>
      <c r="B97" s="74"/>
      <c r="C97" s="243" t="s">
        <v>314</v>
      </c>
      <c r="D97" s="172" t="s">
        <v>176</v>
      </c>
      <c r="E97" s="162"/>
      <c r="F97" s="243"/>
      <c r="G97" s="162"/>
      <c r="H97" s="162"/>
      <c r="I97" s="162"/>
      <c r="J97" s="162"/>
      <c r="K97" s="162"/>
      <c r="L97" s="162"/>
      <c r="M97" s="162"/>
      <c r="N97" s="162"/>
      <c r="O97" s="172"/>
      <c r="P97" s="164"/>
      <c r="Q97" s="164"/>
      <c r="R97" s="164"/>
      <c r="S97" s="164"/>
      <c r="T97" s="164"/>
      <c r="U97" s="164"/>
      <c r="V97" s="164"/>
      <c r="W97" s="164"/>
      <c r="X97" s="164"/>
      <c r="Y97" s="164"/>
      <c r="Z97" s="164"/>
      <c r="AA97" s="164"/>
    </row>
    <row r="98">
      <c r="A98" s="84" t="s">
        <v>315</v>
      </c>
      <c r="B98" s="247" t="s">
        <v>316</v>
      </c>
      <c r="C98" s="248" t="s">
        <v>314</v>
      </c>
      <c r="D98" s="249" t="s">
        <v>176</v>
      </c>
      <c r="E98" s="250">
        <v>0.95</v>
      </c>
      <c r="F98" s="250"/>
      <c r="G98" s="250"/>
      <c r="H98" s="250"/>
      <c r="I98" s="251"/>
      <c r="J98" s="252"/>
      <c r="K98" s="252"/>
      <c r="L98" s="252"/>
      <c r="M98" s="252"/>
      <c r="N98" s="252"/>
      <c r="O98" s="248"/>
      <c r="P98" s="164"/>
      <c r="Q98" s="164"/>
      <c r="R98" s="164"/>
      <c r="S98" s="164"/>
      <c r="T98" s="164"/>
      <c r="U98" s="164"/>
      <c r="V98" s="164"/>
      <c r="W98" s="164"/>
      <c r="X98" s="164"/>
      <c r="Y98" s="164"/>
      <c r="Z98" s="164"/>
      <c r="AA98" s="164"/>
    </row>
    <row r="99">
      <c r="A99" s="236" t="s">
        <v>317</v>
      </c>
      <c r="B99" s="166"/>
      <c r="C99" s="235"/>
      <c r="D99" s="178"/>
      <c r="E99" s="178"/>
      <c r="F99" s="178"/>
      <c r="G99" s="178"/>
      <c r="H99" s="178"/>
      <c r="I99" s="178"/>
      <c r="J99" s="178"/>
      <c r="K99" s="178"/>
      <c r="L99" s="178"/>
      <c r="M99" s="178"/>
      <c r="N99" s="178"/>
      <c r="O99" s="167"/>
      <c r="P99" s="151"/>
      <c r="Q99" s="151"/>
      <c r="R99" s="151"/>
      <c r="S99" s="151"/>
      <c r="T99" s="151"/>
      <c r="U99" s="151"/>
      <c r="V99" s="151"/>
      <c r="W99" s="151"/>
      <c r="X99" s="151"/>
      <c r="Y99" s="151"/>
      <c r="Z99" s="151"/>
      <c r="AA99" s="151"/>
    </row>
    <row r="100">
      <c r="A100" s="152"/>
      <c r="B100" s="71"/>
      <c r="C100" s="234"/>
      <c r="D100" s="146"/>
      <c r="E100" s="146"/>
      <c r="F100" s="146"/>
      <c r="G100" s="146"/>
      <c r="H100" s="146"/>
      <c r="I100" s="146"/>
      <c r="J100" s="146"/>
      <c r="K100" s="146"/>
      <c r="L100" s="146"/>
      <c r="M100" s="146"/>
      <c r="N100" s="146"/>
      <c r="O100" s="145"/>
      <c r="P100" s="151"/>
      <c r="Q100" s="151"/>
      <c r="R100" s="151"/>
      <c r="S100" s="151"/>
      <c r="T100" s="151"/>
      <c r="U100" s="151"/>
      <c r="V100" s="151"/>
      <c r="W100" s="151"/>
      <c r="X100" s="151"/>
      <c r="Y100" s="151"/>
      <c r="Z100" s="151"/>
      <c r="AA100" s="151"/>
    </row>
    <row r="101">
      <c r="A101" s="152"/>
      <c r="B101" s="71"/>
      <c r="C101" s="234"/>
      <c r="D101" s="146"/>
      <c r="E101" s="146"/>
      <c r="F101" s="146"/>
      <c r="G101" s="146"/>
      <c r="H101" s="146"/>
      <c r="I101" s="146"/>
      <c r="J101" s="146"/>
      <c r="K101" s="146"/>
      <c r="L101" s="146"/>
      <c r="M101" s="146"/>
      <c r="N101" s="146"/>
      <c r="O101" s="145"/>
      <c r="P101" s="151"/>
      <c r="Q101" s="151"/>
      <c r="R101" s="151"/>
      <c r="S101" s="151"/>
      <c r="T101" s="151"/>
      <c r="U101" s="151"/>
      <c r="V101" s="151"/>
      <c r="W101" s="151"/>
      <c r="X101" s="151"/>
      <c r="Y101" s="151"/>
      <c r="Z101" s="151"/>
      <c r="AA101" s="151"/>
    </row>
    <row r="102">
      <c r="A102" s="152"/>
      <c r="B102" s="71"/>
      <c r="C102" s="234"/>
      <c r="D102" s="146"/>
      <c r="E102" s="146"/>
      <c r="F102" s="146"/>
      <c r="G102" s="146"/>
      <c r="H102" s="146"/>
      <c r="I102" s="146"/>
      <c r="J102" s="146"/>
      <c r="K102" s="146"/>
      <c r="L102" s="146"/>
      <c r="M102" s="146"/>
      <c r="N102" s="146"/>
      <c r="O102" s="145"/>
      <c r="P102" s="151"/>
      <c r="Q102" s="151"/>
      <c r="R102" s="151"/>
      <c r="S102" s="151"/>
      <c r="T102" s="151"/>
      <c r="U102" s="151"/>
      <c r="V102" s="151"/>
      <c r="W102" s="151"/>
      <c r="X102" s="151"/>
      <c r="Y102" s="151"/>
      <c r="Z102" s="151"/>
      <c r="AA102" s="151"/>
    </row>
    <row r="103">
      <c r="A103" s="152"/>
      <c r="B103" s="71"/>
      <c r="C103" s="234"/>
      <c r="D103" s="146"/>
      <c r="E103" s="146"/>
      <c r="F103" s="146"/>
      <c r="G103" s="146"/>
      <c r="H103" s="146"/>
      <c r="I103" s="146"/>
      <c r="J103" s="146"/>
      <c r="K103" s="146"/>
      <c r="L103" s="146"/>
      <c r="M103" s="146"/>
      <c r="N103" s="146"/>
      <c r="O103" s="145"/>
      <c r="P103" s="151"/>
      <c r="Q103" s="151"/>
      <c r="R103" s="151"/>
      <c r="S103" s="151"/>
      <c r="T103" s="151"/>
      <c r="U103" s="151"/>
      <c r="V103" s="151"/>
      <c r="W103" s="151"/>
      <c r="X103" s="151"/>
      <c r="Y103" s="151"/>
      <c r="Z103" s="151"/>
      <c r="AA103" s="151"/>
    </row>
    <row r="104">
      <c r="A104" s="105"/>
      <c r="B104" s="74"/>
      <c r="C104" s="183"/>
      <c r="D104" s="162"/>
      <c r="E104" s="162"/>
      <c r="F104" s="162"/>
      <c r="G104" s="162"/>
      <c r="H104" s="162"/>
      <c r="I104" s="162"/>
      <c r="J104" s="162"/>
      <c r="K104" s="162"/>
      <c r="L104" s="162"/>
      <c r="M104" s="162"/>
      <c r="N104" s="162"/>
      <c r="O104" s="172"/>
      <c r="P104" s="164"/>
      <c r="Q104" s="164"/>
      <c r="R104" s="164"/>
      <c r="S104" s="164"/>
      <c r="T104" s="164"/>
      <c r="U104" s="164"/>
      <c r="V104" s="164"/>
      <c r="W104" s="164"/>
      <c r="X104" s="164"/>
      <c r="Y104" s="164"/>
      <c r="Z104" s="164"/>
      <c r="AA104" s="164"/>
    </row>
    <row r="105">
      <c r="A105" s="102" t="s">
        <v>81</v>
      </c>
      <c r="B105" s="166" t="s">
        <v>318</v>
      </c>
      <c r="C105" s="235" t="s">
        <v>319</v>
      </c>
      <c r="D105" s="178" t="s">
        <v>156</v>
      </c>
      <c r="E105" s="253">
        <v>1.0</v>
      </c>
      <c r="F105" s="253"/>
      <c r="G105" s="253"/>
      <c r="H105" s="253"/>
      <c r="I105" s="253"/>
      <c r="J105" s="178"/>
      <c r="K105" s="178"/>
      <c r="L105" s="178"/>
      <c r="M105" s="178"/>
      <c r="N105" s="178"/>
      <c r="O105" s="167"/>
      <c r="P105" s="151"/>
      <c r="Q105" s="151"/>
      <c r="R105" s="151"/>
      <c r="S105" s="151"/>
      <c r="T105" s="151"/>
      <c r="U105" s="151"/>
      <c r="V105" s="151"/>
      <c r="W105" s="151"/>
      <c r="X105" s="151"/>
      <c r="Y105" s="151"/>
      <c r="Z105" s="151"/>
      <c r="AA105" s="151"/>
    </row>
    <row r="106">
      <c r="A106" s="152"/>
      <c r="B106" s="71"/>
      <c r="C106" s="234" t="s">
        <v>320</v>
      </c>
      <c r="D106" s="146" t="s">
        <v>156</v>
      </c>
      <c r="E106" s="254">
        <v>1.0</v>
      </c>
      <c r="F106" s="254"/>
      <c r="G106" s="254"/>
      <c r="H106" s="254"/>
      <c r="I106" s="254"/>
      <c r="J106" s="178"/>
      <c r="K106" s="178"/>
      <c r="L106" s="178"/>
      <c r="M106" s="178"/>
      <c r="N106" s="178"/>
      <c r="O106" s="167"/>
      <c r="P106" s="151"/>
      <c r="Q106" s="151"/>
      <c r="R106" s="151"/>
      <c r="S106" s="151"/>
      <c r="T106" s="151"/>
      <c r="U106" s="151"/>
      <c r="V106" s="151"/>
      <c r="W106" s="151"/>
      <c r="X106" s="151"/>
      <c r="Y106" s="151"/>
      <c r="Z106" s="151"/>
      <c r="AA106" s="151"/>
    </row>
    <row r="107">
      <c r="A107" s="152"/>
      <c r="B107" s="71"/>
      <c r="C107" s="234" t="s">
        <v>321</v>
      </c>
      <c r="D107" s="146" t="s">
        <v>169</v>
      </c>
      <c r="E107" s="254">
        <v>0.95</v>
      </c>
      <c r="F107" s="254"/>
      <c r="G107" s="254"/>
      <c r="H107" s="254"/>
      <c r="I107" s="254"/>
      <c r="J107" s="146"/>
      <c r="K107" s="146"/>
      <c r="L107" s="146"/>
      <c r="M107" s="146"/>
      <c r="N107" s="146"/>
      <c r="O107" s="145"/>
      <c r="P107" s="151"/>
      <c r="Q107" s="151"/>
      <c r="R107" s="151"/>
      <c r="S107" s="151"/>
      <c r="T107" s="151"/>
      <c r="U107" s="151"/>
      <c r="V107" s="151"/>
      <c r="W107" s="151"/>
      <c r="X107" s="151"/>
      <c r="Y107" s="151"/>
      <c r="Z107" s="151"/>
      <c r="AA107" s="151"/>
    </row>
    <row r="108">
      <c r="A108" s="152"/>
      <c r="B108" s="71"/>
      <c r="C108" s="234" t="s">
        <v>322</v>
      </c>
      <c r="D108" s="146" t="s">
        <v>169</v>
      </c>
      <c r="E108" s="254">
        <v>0.95</v>
      </c>
      <c r="F108" s="254"/>
      <c r="G108" s="254"/>
      <c r="H108" s="254"/>
      <c r="I108" s="254"/>
      <c r="J108" s="146"/>
      <c r="K108" s="146"/>
      <c r="L108" s="146"/>
      <c r="M108" s="146"/>
      <c r="N108" s="146"/>
      <c r="O108" s="145"/>
      <c r="P108" s="151"/>
      <c r="Q108" s="151"/>
      <c r="R108" s="151"/>
      <c r="S108" s="151"/>
      <c r="T108" s="151"/>
      <c r="U108" s="151"/>
      <c r="V108" s="151"/>
      <c r="W108" s="151"/>
      <c r="X108" s="151"/>
      <c r="Y108" s="151"/>
      <c r="Z108" s="151"/>
      <c r="AA108" s="151"/>
    </row>
    <row r="109">
      <c r="A109" s="152"/>
      <c r="B109" s="71"/>
      <c r="C109" s="234" t="s">
        <v>323</v>
      </c>
      <c r="D109" s="146" t="s">
        <v>231</v>
      </c>
      <c r="E109" s="254">
        <v>0.8</v>
      </c>
      <c r="F109" s="254"/>
      <c r="G109" s="254"/>
      <c r="H109" s="254"/>
      <c r="I109" s="254"/>
      <c r="J109" s="146"/>
      <c r="K109" s="146"/>
      <c r="L109" s="146"/>
      <c r="M109" s="146"/>
      <c r="N109" s="146"/>
      <c r="O109" s="145"/>
      <c r="P109" s="151"/>
      <c r="Q109" s="151"/>
      <c r="R109" s="151"/>
      <c r="S109" s="151"/>
      <c r="T109" s="151"/>
      <c r="U109" s="151"/>
      <c r="V109" s="151"/>
      <c r="W109" s="151"/>
      <c r="X109" s="151"/>
      <c r="Y109" s="151"/>
      <c r="Z109" s="151"/>
      <c r="AA109" s="151"/>
    </row>
    <row r="110">
      <c r="A110" s="105"/>
      <c r="B110" s="74"/>
      <c r="C110" s="243" t="s">
        <v>324</v>
      </c>
      <c r="D110" s="162" t="s">
        <v>176</v>
      </c>
      <c r="E110" s="255">
        <v>1.0</v>
      </c>
      <c r="F110" s="255"/>
      <c r="G110" s="255"/>
      <c r="H110" s="255"/>
      <c r="I110" s="255"/>
      <c r="J110" s="162"/>
      <c r="K110" s="162"/>
      <c r="L110" s="162"/>
      <c r="M110" s="162"/>
      <c r="N110" s="162"/>
      <c r="O110" s="172"/>
      <c r="P110" s="164"/>
      <c r="Q110" s="164"/>
      <c r="R110" s="164"/>
      <c r="S110" s="164"/>
      <c r="T110" s="164"/>
      <c r="U110" s="164"/>
      <c r="V110" s="164"/>
      <c r="W110" s="164"/>
      <c r="X110" s="164"/>
      <c r="Y110" s="164"/>
      <c r="Z110" s="164"/>
      <c r="AA110" s="164"/>
    </row>
    <row r="111">
      <c r="A111" s="246" t="s">
        <v>72</v>
      </c>
      <c r="B111" s="186" t="s">
        <v>325</v>
      </c>
      <c r="C111" s="235" t="s">
        <v>326</v>
      </c>
      <c r="D111" s="178" t="s">
        <v>176</v>
      </c>
      <c r="E111" s="253" t="s">
        <v>327</v>
      </c>
      <c r="F111" s="253"/>
      <c r="G111" s="253"/>
      <c r="H111" s="253"/>
      <c r="I111" s="253"/>
      <c r="J111" s="178"/>
      <c r="K111" s="178"/>
      <c r="L111" s="178"/>
      <c r="M111" s="178"/>
      <c r="N111" s="178"/>
      <c r="O111" s="167"/>
      <c r="P111" s="151"/>
      <c r="Q111" s="151"/>
      <c r="R111" s="151"/>
      <c r="S111" s="151"/>
      <c r="T111" s="151"/>
      <c r="U111" s="151"/>
      <c r="V111" s="151"/>
      <c r="W111" s="151"/>
      <c r="X111" s="151"/>
      <c r="Y111" s="151"/>
      <c r="Z111" s="151"/>
      <c r="AA111" s="151"/>
    </row>
    <row r="112">
      <c r="A112" s="71"/>
      <c r="B112" s="71"/>
      <c r="C112" s="234" t="s">
        <v>328</v>
      </c>
      <c r="D112" s="146" t="s">
        <v>176</v>
      </c>
      <c r="E112" s="254" t="s">
        <v>329</v>
      </c>
      <c r="F112" s="254"/>
      <c r="G112" s="254"/>
      <c r="H112" s="254"/>
      <c r="I112" s="254"/>
      <c r="J112" s="146"/>
      <c r="K112" s="146"/>
      <c r="L112" s="146"/>
      <c r="M112" s="146"/>
      <c r="N112" s="146"/>
      <c r="O112" s="145"/>
      <c r="P112" s="151"/>
      <c r="Q112" s="151"/>
      <c r="R112" s="151"/>
      <c r="S112" s="151"/>
      <c r="T112" s="151"/>
      <c r="U112" s="151"/>
      <c r="V112" s="151"/>
      <c r="W112" s="151"/>
      <c r="X112" s="151"/>
      <c r="Y112" s="151"/>
      <c r="Z112" s="151"/>
      <c r="AA112" s="151"/>
    </row>
    <row r="113">
      <c r="A113" s="71"/>
      <c r="B113" s="71"/>
      <c r="C113" s="234" t="s">
        <v>330</v>
      </c>
      <c r="D113" s="146" t="s">
        <v>156</v>
      </c>
      <c r="E113" s="254" t="s">
        <v>331</v>
      </c>
      <c r="F113" s="254"/>
      <c r="G113" s="254"/>
      <c r="H113" s="254"/>
      <c r="I113" s="254"/>
      <c r="J113" s="146"/>
      <c r="K113" s="146"/>
      <c r="L113" s="146"/>
      <c r="M113" s="146"/>
      <c r="N113" s="146"/>
      <c r="O113" s="145"/>
      <c r="P113" s="151"/>
      <c r="Q113" s="151"/>
      <c r="R113" s="151"/>
      <c r="S113" s="151"/>
      <c r="T113" s="151"/>
      <c r="U113" s="151"/>
      <c r="V113" s="151"/>
      <c r="W113" s="151"/>
      <c r="X113" s="151"/>
      <c r="Y113" s="151"/>
      <c r="Z113" s="151"/>
      <c r="AA113" s="151"/>
    </row>
    <row r="114">
      <c r="A114" s="71"/>
      <c r="B114" s="71"/>
      <c r="C114" s="234" t="s">
        <v>332</v>
      </c>
      <c r="D114" s="146" t="s">
        <v>176</v>
      </c>
      <c r="E114" s="254" t="s">
        <v>333</v>
      </c>
      <c r="F114" s="254"/>
      <c r="G114" s="254"/>
      <c r="H114" s="254"/>
      <c r="I114" s="254"/>
      <c r="J114" s="146"/>
      <c r="K114" s="146"/>
      <c r="L114" s="146"/>
      <c r="M114" s="146"/>
      <c r="N114" s="146"/>
      <c r="O114" s="145"/>
      <c r="P114" s="151"/>
      <c r="Q114" s="151"/>
      <c r="R114" s="151"/>
      <c r="S114" s="151"/>
      <c r="T114" s="151"/>
      <c r="U114" s="151"/>
      <c r="V114" s="151"/>
      <c r="W114" s="151"/>
      <c r="X114" s="151"/>
      <c r="Y114" s="151"/>
      <c r="Z114" s="151"/>
      <c r="AA114" s="151"/>
    </row>
    <row r="115">
      <c r="A115" s="71"/>
      <c r="B115" s="71"/>
      <c r="C115" s="234" t="s">
        <v>334</v>
      </c>
      <c r="D115" s="146" t="s">
        <v>176</v>
      </c>
      <c r="E115" s="254" t="s">
        <v>335</v>
      </c>
      <c r="F115" s="254"/>
      <c r="G115" s="254"/>
      <c r="H115" s="254"/>
      <c r="I115" s="254"/>
      <c r="J115" s="146"/>
      <c r="K115" s="146"/>
      <c r="L115" s="146"/>
      <c r="M115" s="146"/>
      <c r="N115" s="146"/>
      <c r="O115" s="145"/>
      <c r="P115" s="151"/>
      <c r="Q115" s="151"/>
      <c r="R115" s="151"/>
      <c r="S115" s="151"/>
      <c r="T115" s="151"/>
      <c r="U115" s="151"/>
      <c r="V115" s="151"/>
      <c r="W115" s="151"/>
      <c r="X115" s="151"/>
      <c r="Y115" s="151"/>
      <c r="Z115" s="151"/>
      <c r="AA115" s="151"/>
    </row>
    <row r="116">
      <c r="A116" s="71"/>
      <c r="B116" s="71"/>
      <c r="C116" s="234" t="s">
        <v>336</v>
      </c>
      <c r="D116" s="146" t="s">
        <v>156</v>
      </c>
      <c r="E116" s="254">
        <v>0.9</v>
      </c>
      <c r="F116" s="254"/>
      <c r="G116" s="254"/>
      <c r="H116" s="254"/>
      <c r="I116" s="254"/>
      <c r="J116" s="146"/>
      <c r="K116" s="146"/>
      <c r="L116" s="146"/>
      <c r="M116" s="146"/>
      <c r="N116" s="146"/>
      <c r="O116" s="145"/>
      <c r="P116" s="151"/>
      <c r="Q116" s="151"/>
      <c r="R116" s="151"/>
      <c r="S116" s="151"/>
      <c r="T116" s="151"/>
      <c r="U116" s="151"/>
      <c r="V116" s="151"/>
      <c r="W116" s="151"/>
      <c r="X116" s="151"/>
      <c r="Y116" s="151"/>
      <c r="Z116" s="151"/>
      <c r="AA116" s="151"/>
    </row>
    <row r="117">
      <c r="A117" s="74"/>
      <c r="B117" s="74"/>
      <c r="C117" s="243" t="s">
        <v>337</v>
      </c>
      <c r="D117" s="162" t="s">
        <v>156</v>
      </c>
      <c r="E117" s="255">
        <v>0.8</v>
      </c>
      <c r="F117" s="255"/>
      <c r="G117" s="255"/>
      <c r="H117" s="255"/>
      <c r="I117" s="255"/>
      <c r="J117" s="164"/>
      <c r="K117" s="164"/>
      <c r="L117" s="164"/>
      <c r="M117" s="164"/>
      <c r="N117" s="164"/>
      <c r="O117" s="256"/>
      <c r="P117" s="164"/>
      <c r="Q117" s="164"/>
      <c r="R117" s="164"/>
      <c r="S117" s="164"/>
      <c r="T117" s="164"/>
      <c r="U117" s="164"/>
      <c r="V117" s="164"/>
      <c r="W117" s="164"/>
      <c r="X117" s="164"/>
      <c r="Y117" s="164"/>
      <c r="Z117" s="164"/>
      <c r="AA117" s="164"/>
    </row>
    <row r="118">
      <c r="A118" s="227"/>
      <c r="B118" s="227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227"/>
      <c r="B119" s="227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227"/>
      <c r="B120" s="227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227"/>
      <c r="B121" s="227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227"/>
      <c r="B122" s="227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227"/>
      <c r="B123" s="227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227"/>
      <c r="B124" s="227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227"/>
      <c r="B125" s="227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227"/>
      <c r="B126" s="227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227"/>
      <c r="B127" s="227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227"/>
      <c r="B128" s="227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227"/>
      <c r="B129" s="227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227"/>
      <c r="B130" s="227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227"/>
      <c r="B131" s="227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227"/>
      <c r="B132" s="227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227"/>
      <c r="B133" s="227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227"/>
      <c r="B134" s="227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227"/>
      <c r="B135" s="227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227"/>
      <c r="B136" s="227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227"/>
      <c r="B137" s="227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227"/>
      <c r="B138" s="227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227"/>
      <c r="B139" s="227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227"/>
      <c r="B140" s="227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227"/>
      <c r="B141" s="227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227"/>
      <c r="B142" s="227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227"/>
      <c r="B143" s="227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227"/>
      <c r="B144" s="227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227"/>
      <c r="B145" s="227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227"/>
      <c r="B146" s="227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227"/>
      <c r="B147" s="227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227"/>
      <c r="B148" s="227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227"/>
      <c r="B149" s="227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227"/>
      <c r="B150" s="227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227"/>
      <c r="B151" s="227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227"/>
      <c r="B152" s="227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227"/>
      <c r="B153" s="227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227"/>
      <c r="B154" s="227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227"/>
      <c r="B155" s="227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227"/>
      <c r="B156" s="227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227"/>
      <c r="B157" s="227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227"/>
      <c r="B158" s="227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227"/>
      <c r="B159" s="227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227"/>
      <c r="B160" s="227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227"/>
      <c r="B161" s="227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227"/>
      <c r="B162" s="227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227"/>
      <c r="B163" s="227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227"/>
      <c r="B164" s="227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227"/>
      <c r="B165" s="227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227"/>
      <c r="B166" s="227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227"/>
      <c r="B167" s="227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227"/>
      <c r="B168" s="227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227"/>
      <c r="B169" s="227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227"/>
      <c r="B170" s="227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227"/>
      <c r="B171" s="227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227"/>
      <c r="B172" s="227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227"/>
      <c r="B173" s="227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227"/>
      <c r="B174" s="227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227"/>
      <c r="B175" s="227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227"/>
      <c r="B176" s="227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227"/>
      <c r="B177" s="227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227"/>
      <c r="B178" s="227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227"/>
      <c r="B179" s="227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227"/>
      <c r="B180" s="227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227"/>
      <c r="B181" s="227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227"/>
      <c r="B182" s="227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227"/>
      <c r="B183" s="227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227"/>
      <c r="B184" s="227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227"/>
      <c r="B185" s="227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227"/>
      <c r="B186" s="227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227"/>
      <c r="B187" s="227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227"/>
      <c r="B188" s="227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227"/>
      <c r="B189" s="227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227"/>
      <c r="B190" s="227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227"/>
      <c r="B191" s="227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227"/>
      <c r="B192" s="227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227"/>
      <c r="B193" s="227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227"/>
      <c r="B194" s="227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227"/>
      <c r="B195" s="227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227"/>
      <c r="B196" s="227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227"/>
      <c r="B197" s="227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227"/>
      <c r="B198" s="227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227"/>
      <c r="B199" s="227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227"/>
      <c r="B200" s="227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227"/>
      <c r="B201" s="227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227"/>
      <c r="B202" s="227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227"/>
      <c r="B203" s="227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227"/>
      <c r="B204" s="227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227"/>
      <c r="B205" s="227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227"/>
      <c r="B206" s="227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227"/>
      <c r="B207" s="227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227"/>
      <c r="B208" s="227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227"/>
      <c r="B209" s="227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227"/>
      <c r="B210" s="227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227"/>
      <c r="B211" s="227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227"/>
      <c r="B212" s="227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227"/>
      <c r="B213" s="227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227"/>
      <c r="B214" s="227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227"/>
      <c r="B215" s="227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227"/>
      <c r="B216" s="227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227"/>
      <c r="B217" s="227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227"/>
      <c r="B218" s="227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227"/>
      <c r="B219" s="227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227"/>
      <c r="B220" s="227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227"/>
      <c r="B221" s="227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227"/>
      <c r="B222" s="227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227"/>
      <c r="B223" s="227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227"/>
      <c r="B224" s="227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227"/>
      <c r="B225" s="227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227"/>
      <c r="B226" s="227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227"/>
      <c r="B227" s="227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227"/>
      <c r="B228" s="227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227"/>
      <c r="B229" s="227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227"/>
      <c r="B230" s="227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227"/>
      <c r="B231" s="227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227"/>
      <c r="B232" s="227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227"/>
      <c r="B233" s="227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227"/>
      <c r="B234" s="227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227"/>
      <c r="B235" s="227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227"/>
      <c r="B236" s="227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227"/>
      <c r="B237" s="227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227"/>
      <c r="B238" s="227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227"/>
      <c r="B239" s="227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227"/>
      <c r="B240" s="227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227"/>
      <c r="B241" s="227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227"/>
      <c r="B242" s="227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227"/>
      <c r="B243" s="227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227"/>
      <c r="B244" s="227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227"/>
      <c r="B245" s="227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227"/>
      <c r="B246" s="227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227"/>
      <c r="B247" s="227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227"/>
      <c r="B248" s="227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227"/>
      <c r="B249" s="227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227"/>
      <c r="B250" s="227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227"/>
      <c r="B251" s="227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227"/>
      <c r="B252" s="227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227"/>
      <c r="B253" s="227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227"/>
      <c r="B254" s="227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227"/>
      <c r="B255" s="227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227"/>
      <c r="B256" s="227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227"/>
      <c r="B257" s="227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227"/>
      <c r="B258" s="227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227"/>
      <c r="B259" s="227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227"/>
      <c r="B260" s="227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227"/>
      <c r="B261" s="227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227"/>
      <c r="B262" s="227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227"/>
      <c r="B263" s="227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227"/>
      <c r="B264" s="227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227"/>
      <c r="B265" s="227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227"/>
      <c r="B266" s="227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227"/>
      <c r="B267" s="227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227"/>
      <c r="B268" s="227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227"/>
      <c r="B269" s="227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227"/>
      <c r="B270" s="227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227"/>
      <c r="B271" s="227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227"/>
      <c r="B272" s="227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227"/>
      <c r="B273" s="227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227"/>
      <c r="B274" s="227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227"/>
      <c r="B275" s="227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227"/>
      <c r="B276" s="227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227"/>
      <c r="B277" s="227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227"/>
      <c r="B278" s="227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227"/>
      <c r="B279" s="227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227"/>
      <c r="B280" s="227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227"/>
      <c r="B281" s="227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227"/>
      <c r="B282" s="227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227"/>
      <c r="B283" s="227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227"/>
      <c r="B284" s="227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227"/>
      <c r="B285" s="227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227"/>
      <c r="B286" s="227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227"/>
      <c r="B287" s="227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227"/>
      <c r="B288" s="227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227"/>
      <c r="B289" s="227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227"/>
      <c r="B290" s="227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227"/>
      <c r="B291" s="227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227"/>
      <c r="B292" s="227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227"/>
      <c r="B293" s="227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227"/>
      <c r="B294" s="227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227"/>
      <c r="B295" s="227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227"/>
      <c r="B296" s="227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227"/>
      <c r="B297" s="227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227"/>
      <c r="B298" s="227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227"/>
      <c r="B299" s="227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227"/>
      <c r="B300" s="227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227"/>
      <c r="B301" s="227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227"/>
      <c r="B302" s="227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227"/>
      <c r="B303" s="227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227"/>
      <c r="B304" s="227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227"/>
      <c r="B305" s="227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227"/>
      <c r="B306" s="227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227"/>
      <c r="B307" s="227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227"/>
      <c r="B308" s="227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227"/>
      <c r="B309" s="227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227"/>
      <c r="B310" s="227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227"/>
      <c r="B311" s="227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227"/>
      <c r="B312" s="227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227"/>
      <c r="B313" s="227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227"/>
      <c r="B314" s="227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227"/>
      <c r="B315" s="227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227"/>
      <c r="B316" s="227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227"/>
      <c r="B317" s="227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227"/>
      <c r="B318" s="227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227"/>
      <c r="B319" s="227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227"/>
      <c r="B320" s="227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227"/>
      <c r="B321" s="227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227"/>
      <c r="B322" s="227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227"/>
      <c r="B323" s="227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227"/>
      <c r="B324" s="227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227"/>
      <c r="B325" s="227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227"/>
      <c r="B326" s="227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227"/>
      <c r="B327" s="227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227"/>
      <c r="B328" s="227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227"/>
      <c r="B329" s="227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227"/>
      <c r="B330" s="227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227"/>
      <c r="B331" s="227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227"/>
      <c r="B332" s="227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227"/>
      <c r="B333" s="227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227"/>
      <c r="B334" s="227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227"/>
      <c r="B335" s="227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227"/>
      <c r="B336" s="227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227"/>
      <c r="B337" s="227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227"/>
      <c r="B338" s="227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227"/>
      <c r="B339" s="227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227"/>
      <c r="B340" s="227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227"/>
      <c r="B341" s="227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227"/>
      <c r="B342" s="227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227"/>
      <c r="B343" s="227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227"/>
      <c r="B344" s="227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227"/>
      <c r="B345" s="227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227"/>
      <c r="B346" s="227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227"/>
      <c r="B347" s="227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227"/>
      <c r="B348" s="227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227"/>
      <c r="B349" s="227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227"/>
      <c r="B350" s="227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227"/>
      <c r="B351" s="227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227"/>
      <c r="B352" s="227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227"/>
      <c r="B353" s="227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227"/>
      <c r="B354" s="227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227"/>
      <c r="B355" s="227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227"/>
      <c r="B356" s="227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227"/>
      <c r="B357" s="227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227"/>
      <c r="B358" s="227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227"/>
      <c r="B359" s="227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227"/>
      <c r="B360" s="227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227"/>
      <c r="B361" s="227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227"/>
      <c r="B362" s="227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227"/>
      <c r="B363" s="227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227"/>
      <c r="B364" s="227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227"/>
      <c r="B365" s="227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227"/>
      <c r="B366" s="227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227"/>
      <c r="B367" s="227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227"/>
      <c r="B368" s="227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227"/>
      <c r="B369" s="227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227"/>
      <c r="B370" s="227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227"/>
      <c r="B371" s="227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227"/>
      <c r="B372" s="227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227"/>
      <c r="B373" s="227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227"/>
      <c r="B374" s="227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227"/>
      <c r="B375" s="227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227"/>
      <c r="B376" s="227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227"/>
      <c r="B377" s="227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227"/>
      <c r="B378" s="227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227"/>
      <c r="B379" s="227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227"/>
      <c r="B380" s="227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227"/>
      <c r="B381" s="227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227"/>
      <c r="B382" s="227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227"/>
      <c r="B383" s="227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227"/>
      <c r="B384" s="227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227"/>
      <c r="B385" s="227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227"/>
      <c r="B386" s="227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227"/>
      <c r="B387" s="227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227"/>
      <c r="B388" s="227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227"/>
      <c r="B389" s="227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227"/>
      <c r="B390" s="227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227"/>
      <c r="B391" s="227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227"/>
      <c r="B392" s="227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227"/>
      <c r="B393" s="227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227"/>
      <c r="B394" s="227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227"/>
      <c r="B395" s="227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227"/>
      <c r="B396" s="227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227"/>
      <c r="B397" s="227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227"/>
      <c r="B398" s="227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227"/>
      <c r="B399" s="227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227"/>
      <c r="B400" s="227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227"/>
      <c r="B401" s="227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227"/>
      <c r="B402" s="227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227"/>
      <c r="B403" s="227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227"/>
      <c r="B404" s="227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227"/>
      <c r="B405" s="227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227"/>
      <c r="B406" s="227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227"/>
      <c r="B407" s="227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227"/>
      <c r="B408" s="227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227"/>
      <c r="B409" s="227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227"/>
      <c r="B410" s="227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227"/>
      <c r="B411" s="227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227"/>
      <c r="B412" s="227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227"/>
      <c r="B413" s="227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227"/>
      <c r="B414" s="227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227"/>
      <c r="B415" s="227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227"/>
      <c r="B416" s="227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227"/>
      <c r="B417" s="227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227"/>
      <c r="B418" s="227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227"/>
      <c r="B419" s="227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227"/>
      <c r="B420" s="227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227"/>
      <c r="B421" s="227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227"/>
      <c r="B422" s="227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227"/>
      <c r="B423" s="227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227"/>
      <c r="B424" s="227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227"/>
      <c r="B425" s="227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227"/>
      <c r="B426" s="227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227"/>
      <c r="B427" s="227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227"/>
      <c r="B428" s="227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227"/>
      <c r="B429" s="227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227"/>
      <c r="B430" s="227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227"/>
      <c r="B431" s="227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227"/>
      <c r="B432" s="227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227"/>
      <c r="B433" s="227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227"/>
      <c r="B434" s="227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227"/>
      <c r="B435" s="227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227"/>
      <c r="B436" s="227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227"/>
      <c r="B437" s="227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227"/>
      <c r="B438" s="227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227"/>
      <c r="B439" s="227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227"/>
      <c r="B440" s="227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227"/>
      <c r="B441" s="227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227"/>
      <c r="B442" s="227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227"/>
      <c r="B443" s="227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227"/>
      <c r="B444" s="227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227"/>
      <c r="B445" s="227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227"/>
      <c r="B446" s="227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227"/>
      <c r="B447" s="227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227"/>
      <c r="B448" s="227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227"/>
      <c r="B449" s="227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227"/>
      <c r="B450" s="227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227"/>
      <c r="B451" s="227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227"/>
      <c r="B452" s="227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227"/>
      <c r="B453" s="227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227"/>
      <c r="B454" s="227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227"/>
      <c r="B455" s="227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227"/>
      <c r="B456" s="227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227"/>
      <c r="B457" s="227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227"/>
      <c r="B458" s="227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227"/>
      <c r="B459" s="227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227"/>
      <c r="B460" s="227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227"/>
      <c r="B461" s="227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227"/>
      <c r="B462" s="227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227"/>
      <c r="B463" s="227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227"/>
      <c r="B464" s="227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227"/>
      <c r="B465" s="227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227"/>
      <c r="B466" s="227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227"/>
      <c r="B467" s="227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227"/>
      <c r="B468" s="227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227"/>
      <c r="B469" s="227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227"/>
      <c r="B470" s="227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227"/>
      <c r="B471" s="227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227"/>
      <c r="B472" s="227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227"/>
      <c r="B473" s="227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227"/>
      <c r="B474" s="227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227"/>
      <c r="B475" s="227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227"/>
      <c r="B476" s="227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227"/>
      <c r="B477" s="227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227"/>
      <c r="B478" s="227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227"/>
      <c r="B479" s="227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227"/>
      <c r="B480" s="227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227"/>
      <c r="B481" s="227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227"/>
      <c r="B482" s="227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227"/>
      <c r="B483" s="227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227"/>
      <c r="B484" s="227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227"/>
      <c r="B485" s="227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227"/>
      <c r="B486" s="227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227"/>
      <c r="B487" s="227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227"/>
      <c r="B488" s="227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227"/>
      <c r="B489" s="227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227"/>
      <c r="B490" s="227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227"/>
      <c r="B491" s="227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227"/>
      <c r="B492" s="227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227"/>
      <c r="B493" s="227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227"/>
      <c r="B494" s="227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227"/>
      <c r="B495" s="227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227"/>
      <c r="B496" s="227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227"/>
      <c r="B497" s="227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227"/>
      <c r="B498" s="227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227"/>
      <c r="B499" s="227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227"/>
      <c r="B500" s="227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227"/>
      <c r="B501" s="227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227"/>
      <c r="B502" s="227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227"/>
      <c r="B503" s="227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227"/>
      <c r="B504" s="227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227"/>
      <c r="B505" s="227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227"/>
      <c r="B506" s="227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227"/>
      <c r="B507" s="227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227"/>
      <c r="B508" s="227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227"/>
      <c r="B509" s="227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227"/>
      <c r="B510" s="227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227"/>
      <c r="B511" s="227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227"/>
      <c r="B512" s="227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227"/>
      <c r="B513" s="227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227"/>
      <c r="B514" s="227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227"/>
      <c r="B515" s="227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227"/>
      <c r="B516" s="227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227"/>
      <c r="B517" s="227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227"/>
      <c r="B518" s="227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227"/>
      <c r="B519" s="227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227"/>
      <c r="B520" s="227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227"/>
      <c r="B521" s="227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227"/>
      <c r="B522" s="227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227"/>
      <c r="B523" s="227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227"/>
      <c r="B524" s="227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227"/>
      <c r="B525" s="227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227"/>
      <c r="B526" s="227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227"/>
      <c r="B527" s="227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227"/>
      <c r="B528" s="227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227"/>
      <c r="B529" s="227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227"/>
      <c r="B530" s="227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227"/>
      <c r="B531" s="227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227"/>
      <c r="B532" s="227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227"/>
      <c r="B533" s="227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227"/>
      <c r="B534" s="227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227"/>
      <c r="B535" s="227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227"/>
      <c r="B536" s="227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227"/>
      <c r="B537" s="227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227"/>
      <c r="B538" s="227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227"/>
      <c r="B539" s="227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227"/>
      <c r="B540" s="227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227"/>
      <c r="B541" s="227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227"/>
      <c r="B542" s="227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227"/>
      <c r="B543" s="227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227"/>
      <c r="B544" s="227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227"/>
      <c r="B545" s="227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227"/>
      <c r="B546" s="227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227"/>
      <c r="B547" s="227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227"/>
      <c r="B548" s="227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227"/>
      <c r="B549" s="227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227"/>
      <c r="B550" s="227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227"/>
      <c r="B551" s="227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227"/>
      <c r="B552" s="227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227"/>
      <c r="B553" s="227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227"/>
      <c r="B554" s="227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227"/>
      <c r="B555" s="227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227"/>
      <c r="B556" s="227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227"/>
      <c r="B557" s="227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227"/>
      <c r="B558" s="227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227"/>
      <c r="B559" s="227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227"/>
      <c r="B560" s="227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227"/>
      <c r="B561" s="227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227"/>
      <c r="B562" s="227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227"/>
      <c r="B563" s="227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227"/>
      <c r="B564" s="227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227"/>
      <c r="B565" s="227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227"/>
      <c r="B566" s="227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227"/>
      <c r="B567" s="227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227"/>
      <c r="B568" s="227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227"/>
      <c r="B569" s="227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227"/>
      <c r="B570" s="227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227"/>
      <c r="B571" s="227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227"/>
      <c r="B572" s="227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227"/>
      <c r="B573" s="227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227"/>
      <c r="B574" s="227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227"/>
      <c r="B575" s="227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227"/>
      <c r="B576" s="227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227"/>
      <c r="B577" s="227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227"/>
      <c r="B578" s="227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227"/>
      <c r="B579" s="227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227"/>
      <c r="B580" s="227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227"/>
      <c r="B581" s="227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227"/>
      <c r="B582" s="227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227"/>
      <c r="B583" s="227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227"/>
      <c r="B584" s="227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227"/>
      <c r="B585" s="227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227"/>
      <c r="B586" s="227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227"/>
      <c r="B587" s="227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227"/>
      <c r="B588" s="227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227"/>
      <c r="B589" s="227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227"/>
      <c r="B590" s="227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227"/>
      <c r="B591" s="227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227"/>
      <c r="B592" s="227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227"/>
      <c r="B593" s="227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227"/>
      <c r="B594" s="227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227"/>
      <c r="B595" s="227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227"/>
      <c r="B596" s="227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227"/>
      <c r="B597" s="227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227"/>
      <c r="B598" s="227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227"/>
      <c r="B599" s="227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227"/>
      <c r="B600" s="227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227"/>
      <c r="B601" s="227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227"/>
      <c r="B602" s="227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227"/>
      <c r="B603" s="227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227"/>
      <c r="B604" s="227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227"/>
      <c r="B605" s="227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227"/>
      <c r="B606" s="227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227"/>
      <c r="B607" s="227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227"/>
      <c r="B608" s="227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227"/>
      <c r="B609" s="227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227"/>
      <c r="B610" s="227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227"/>
      <c r="B611" s="227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227"/>
      <c r="B612" s="227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227"/>
      <c r="B613" s="227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227"/>
      <c r="B614" s="227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227"/>
      <c r="B615" s="227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227"/>
      <c r="B616" s="227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227"/>
      <c r="B617" s="227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227"/>
      <c r="B618" s="227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227"/>
      <c r="B619" s="227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227"/>
      <c r="B620" s="227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227"/>
      <c r="B621" s="227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227"/>
      <c r="B622" s="227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227"/>
      <c r="B623" s="227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227"/>
      <c r="B624" s="227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227"/>
      <c r="B625" s="227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227"/>
      <c r="B626" s="227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227"/>
      <c r="B627" s="227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227"/>
      <c r="B628" s="227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227"/>
      <c r="B629" s="227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227"/>
      <c r="B630" s="227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227"/>
      <c r="B631" s="227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227"/>
      <c r="B632" s="227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227"/>
      <c r="B633" s="227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227"/>
      <c r="B634" s="227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227"/>
      <c r="B635" s="227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227"/>
      <c r="B636" s="227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227"/>
      <c r="B637" s="227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227"/>
      <c r="B638" s="227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227"/>
      <c r="B639" s="227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227"/>
      <c r="B640" s="227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227"/>
      <c r="B641" s="227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227"/>
      <c r="B642" s="227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227"/>
      <c r="B643" s="227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227"/>
      <c r="B644" s="227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227"/>
      <c r="B645" s="227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227"/>
      <c r="B646" s="227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227"/>
      <c r="B647" s="227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227"/>
      <c r="B648" s="227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227"/>
      <c r="B649" s="227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227"/>
      <c r="B650" s="227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227"/>
      <c r="B651" s="227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227"/>
      <c r="B652" s="227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227"/>
      <c r="B653" s="227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227"/>
      <c r="B654" s="227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227"/>
      <c r="B655" s="227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227"/>
      <c r="B656" s="227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227"/>
      <c r="B657" s="227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227"/>
      <c r="B658" s="227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227"/>
      <c r="B659" s="227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227"/>
      <c r="B660" s="227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227"/>
      <c r="B661" s="227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227"/>
      <c r="B662" s="227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227"/>
      <c r="B663" s="227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227"/>
      <c r="B664" s="227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227"/>
      <c r="B665" s="227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227"/>
      <c r="B666" s="227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227"/>
      <c r="B667" s="227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227"/>
      <c r="B668" s="227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227"/>
      <c r="B669" s="227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227"/>
      <c r="B670" s="227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227"/>
      <c r="B671" s="227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227"/>
      <c r="B672" s="227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227"/>
      <c r="B673" s="227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227"/>
      <c r="B674" s="227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227"/>
      <c r="B675" s="227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227"/>
      <c r="B676" s="227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227"/>
      <c r="B677" s="227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227"/>
      <c r="B678" s="227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227"/>
      <c r="B679" s="227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227"/>
      <c r="B680" s="227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227"/>
      <c r="B681" s="227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227"/>
      <c r="B682" s="227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227"/>
      <c r="B683" s="227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227"/>
      <c r="B684" s="227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227"/>
      <c r="B685" s="227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227"/>
      <c r="B686" s="227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227"/>
      <c r="B687" s="227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227"/>
      <c r="B688" s="227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227"/>
      <c r="B689" s="227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227"/>
      <c r="B690" s="227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227"/>
      <c r="B691" s="227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227"/>
      <c r="B692" s="227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227"/>
      <c r="B693" s="227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227"/>
      <c r="B694" s="227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227"/>
      <c r="B695" s="227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227"/>
      <c r="B696" s="227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227"/>
      <c r="B697" s="227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227"/>
      <c r="B698" s="227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227"/>
      <c r="B699" s="227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227"/>
      <c r="B700" s="227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227"/>
      <c r="B701" s="227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227"/>
      <c r="B702" s="227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227"/>
      <c r="B703" s="227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227"/>
      <c r="B704" s="227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227"/>
      <c r="B705" s="227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227"/>
      <c r="B706" s="227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227"/>
      <c r="B707" s="227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227"/>
      <c r="B708" s="227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227"/>
      <c r="B709" s="227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227"/>
      <c r="B710" s="227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227"/>
      <c r="B711" s="227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227"/>
      <c r="B712" s="227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227"/>
      <c r="B713" s="227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227"/>
      <c r="B714" s="227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227"/>
      <c r="B715" s="227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227"/>
      <c r="B716" s="227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227"/>
      <c r="B717" s="227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227"/>
      <c r="B718" s="227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227"/>
      <c r="B719" s="227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227"/>
      <c r="B720" s="227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227"/>
      <c r="B721" s="227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227"/>
      <c r="B722" s="227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227"/>
      <c r="B723" s="227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227"/>
      <c r="B724" s="227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227"/>
      <c r="B725" s="227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227"/>
      <c r="B726" s="227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227"/>
      <c r="B727" s="227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227"/>
      <c r="B728" s="227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227"/>
      <c r="B729" s="227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227"/>
      <c r="B730" s="227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227"/>
      <c r="B731" s="227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227"/>
      <c r="B732" s="227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227"/>
      <c r="B733" s="227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227"/>
      <c r="B734" s="227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227"/>
      <c r="B735" s="227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227"/>
      <c r="B736" s="227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227"/>
      <c r="B737" s="227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227"/>
      <c r="B738" s="227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227"/>
      <c r="B739" s="227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227"/>
      <c r="B740" s="227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227"/>
      <c r="B741" s="227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227"/>
      <c r="B742" s="227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227"/>
      <c r="B743" s="227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227"/>
      <c r="B744" s="227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227"/>
      <c r="B745" s="227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227"/>
      <c r="B746" s="227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227"/>
      <c r="B747" s="227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227"/>
      <c r="B748" s="227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227"/>
      <c r="B749" s="227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227"/>
      <c r="B750" s="227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227"/>
      <c r="B751" s="227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227"/>
      <c r="B752" s="227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227"/>
      <c r="B753" s="227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227"/>
      <c r="B754" s="227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227"/>
      <c r="B755" s="227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227"/>
      <c r="B756" s="227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227"/>
      <c r="B757" s="227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227"/>
      <c r="B758" s="227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227"/>
      <c r="B759" s="227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227"/>
      <c r="B760" s="227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227"/>
      <c r="B761" s="227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227"/>
      <c r="B762" s="227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227"/>
      <c r="B763" s="227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227"/>
      <c r="B764" s="227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227"/>
      <c r="B765" s="227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227"/>
      <c r="B766" s="227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227"/>
      <c r="B767" s="227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227"/>
      <c r="B768" s="227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227"/>
      <c r="B769" s="227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227"/>
      <c r="B770" s="227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227"/>
      <c r="B771" s="227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227"/>
      <c r="B772" s="227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227"/>
      <c r="B773" s="227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227"/>
      <c r="B774" s="227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227"/>
      <c r="B775" s="227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227"/>
      <c r="B776" s="227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227"/>
      <c r="B777" s="227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227"/>
      <c r="B778" s="227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227"/>
      <c r="B779" s="227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227"/>
      <c r="B780" s="227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227"/>
      <c r="B781" s="227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227"/>
      <c r="B782" s="227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227"/>
      <c r="B783" s="227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227"/>
      <c r="B784" s="227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227"/>
      <c r="B785" s="227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227"/>
      <c r="B786" s="227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227"/>
      <c r="B787" s="227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227"/>
      <c r="B788" s="227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227"/>
      <c r="B789" s="227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227"/>
      <c r="B790" s="227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227"/>
      <c r="B791" s="227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227"/>
      <c r="B792" s="227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227"/>
      <c r="B793" s="227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227"/>
      <c r="B794" s="227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227"/>
      <c r="B795" s="227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227"/>
      <c r="B796" s="227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227"/>
      <c r="B797" s="227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227"/>
      <c r="B798" s="227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227"/>
      <c r="B799" s="227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227"/>
      <c r="B800" s="227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227"/>
      <c r="B801" s="227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227"/>
      <c r="B802" s="227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227"/>
      <c r="B803" s="227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227"/>
      <c r="B804" s="227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227"/>
      <c r="B805" s="227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227"/>
      <c r="B806" s="227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227"/>
      <c r="B807" s="227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227"/>
      <c r="B808" s="227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227"/>
      <c r="B809" s="227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227"/>
      <c r="B810" s="227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227"/>
      <c r="B811" s="227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227"/>
      <c r="B812" s="227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227"/>
      <c r="B813" s="227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227"/>
      <c r="B814" s="227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227"/>
      <c r="B815" s="227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227"/>
      <c r="B816" s="227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227"/>
      <c r="B817" s="227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227"/>
      <c r="B818" s="227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227"/>
      <c r="B819" s="227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227"/>
      <c r="B820" s="227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227"/>
      <c r="B821" s="227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227"/>
      <c r="B822" s="227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227"/>
      <c r="B823" s="227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227"/>
      <c r="B824" s="227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227"/>
      <c r="B825" s="227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227"/>
      <c r="B826" s="227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227"/>
      <c r="B827" s="227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227"/>
      <c r="B828" s="227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227"/>
      <c r="B829" s="227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227"/>
      <c r="B830" s="227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227"/>
      <c r="B831" s="227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227"/>
      <c r="B832" s="227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227"/>
      <c r="B833" s="227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227"/>
      <c r="B834" s="227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227"/>
      <c r="B835" s="227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227"/>
      <c r="B836" s="227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227"/>
      <c r="B837" s="227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227"/>
      <c r="B838" s="227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227"/>
      <c r="B839" s="227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227"/>
      <c r="B840" s="227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227"/>
      <c r="B841" s="227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227"/>
      <c r="B842" s="227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227"/>
      <c r="B843" s="227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227"/>
      <c r="B844" s="227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227"/>
      <c r="B845" s="227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227"/>
      <c r="B846" s="227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227"/>
      <c r="B847" s="227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227"/>
      <c r="B848" s="227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227"/>
      <c r="B849" s="227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227"/>
      <c r="B850" s="227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227"/>
      <c r="B851" s="227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227"/>
      <c r="B852" s="227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227"/>
      <c r="B853" s="227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227"/>
      <c r="B854" s="227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227"/>
      <c r="B855" s="227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227"/>
      <c r="B856" s="227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227"/>
      <c r="B857" s="227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227"/>
      <c r="B858" s="227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227"/>
      <c r="B859" s="227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227"/>
      <c r="B860" s="227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227"/>
      <c r="B861" s="227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227"/>
      <c r="B862" s="227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227"/>
      <c r="B863" s="227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227"/>
      <c r="B864" s="227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227"/>
      <c r="B865" s="227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227"/>
      <c r="B866" s="227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227"/>
      <c r="B867" s="227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227"/>
      <c r="B868" s="227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227"/>
      <c r="B869" s="227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227"/>
      <c r="B870" s="227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227"/>
      <c r="B871" s="227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227"/>
      <c r="B872" s="227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227"/>
      <c r="B873" s="227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227"/>
      <c r="B874" s="227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227"/>
      <c r="B875" s="227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227"/>
      <c r="B876" s="227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227"/>
      <c r="B877" s="227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227"/>
      <c r="B878" s="227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227"/>
      <c r="B879" s="227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227"/>
      <c r="B880" s="227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227"/>
      <c r="B881" s="227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227"/>
      <c r="B882" s="227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227"/>
      <c r="B883" s="227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227"/>
      <c r="B884" s="227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227"/>
      <c r="B885" s="227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227"/>
      <c r="B886" s="227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227"/>
      <c r="B887" s="227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227"/>
      <c r="B888" s="227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227"/>
      <c r="B889" s="227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227"/>
      <c r="B890" s="227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227"/>
      <c r="B891" s="227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227"/>
      <c r="B892" s="227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227"/>
      <c r="B893" s="227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227"/>
      <c r="B894" s="227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227"/>
      <c r="B895" s="227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227"/>
      <c r="B896" s="227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227"/>
      <c r="B897" s="227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227"/>
      <c r="B898" s="227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227"/>
      <c r="B899" s="227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227"/>
      <c r="B900" s="227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227"/>
      <c r="B901" s="227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227"/>
      <c r="B902" s="227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227"/>
      <c r="B903" s="227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227"/>
      <c r="B904" s="227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227"/>
      <c r="B905" s="227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227"/>
      <c r="B906" s="227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227"/>
      <c r="B907" s="227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227"/>
      <c r="B908" s="227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227"/>
      <c r="B909" s="227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227"/>
      <c r="B910" s="227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227"/>
      <c r="B911" s="227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227"/>
      <c r="B912" s="227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227"/>
      <c r="B913" s="227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227"/>
      <c r="B914" s="227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227"/>
      <c r="B915" s="227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227"/>
      <c r="B916" s="227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227"/>
      <c r="B917" s="227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227"/>
      <c r="B918" s="227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227"/>
      <c r="B919" s="227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227"/>
      <c r="B920" s="227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227"/>
      <c r="B921" s="227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227"/>
      <c r="B922" s="227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227"/>
      <c r="B923" s="227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227"/>
      <c r="B924" s="227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227"/>
      <c r="B925" s="227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227"/>
      <c r="B926" s="227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227"/>
      <c r="B927" s="227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227"/>
      <c r="B928" s="227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227"/>
      <c r="B929" s="227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227"/>
      <c r="B930" s="227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227"/>
      <c r="B931" s="227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227"/>
      <c r="B932" s="227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227"/>
      <c r="B933" s="227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227"/>
      <c r="B934" s="227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227"/>
      <c r="B935" s="227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227"/>
      <c r="B936" s="227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227"/>
      <c r="B937" s="227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227"/>
      <c r="B938" s="227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227"/>
      <c r="B939" s="227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227"/>
      <c r="B940" s="227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227"/>
      <c r="B941" s="227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227"/>
      <c r="B942" s="227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227"/>
      <c r="B943" s="227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227"/>
      <c r="B944" s="227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227"/>
      <c r="B945" s="227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227"/>
      <c r="B946" s="227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227"/>
      <c r="B947" s="227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227"/>
      <c r="B948" s="227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227"/>
      <c r="B949" s="227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227"/>
      <c r="B950" s="227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227"/>
      <c r="B951" s="227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227"/>
      <c r="B952" s="227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227"/>
      <c r="B953" s="227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227"/>
      <c r="B954" s="227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227"/>
      <c r="B955" s="227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227"/>
      <c r="B956" s="227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227"/>
      <c r="B957" s="227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227"/>
      <c r="B958" s="227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227"/>
      <c r="B959" s="227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227"/>
      <c r="B960" s="227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227"/>
      <c r="B961" s="227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227"/>
      <c r="B962" s="227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227"/>
      <c r="B963" s="227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227"/>
      <c r="B964" s="227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227"/>
      <c r="B965" s="227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227"/>
      <c r="B966" s="227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227"/>
      <c r="B967" s="227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227"/>
      <c r="B968" s="227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227"/>
      <c r="B969" s="227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227"/>
      <c r="B970" s="227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227"/>
      <c r="B971" s="227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227"/>
      <c r="B972" s="227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227"/>
      <c r="B973" s="227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227"/>
      <c r="B974" s="227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227"/>
      <c r="B975" s="227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227"/>
      <c r="B976" s="227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227"/>
      <c r="B977" s="227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227"/>
      <c r="B978" s="227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227"/>
      <c r="B979" s="227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227"/>
      <c r="B980" s="227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227"/>
      <c r="B981" s="227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227"/>
      <c r="B982" s="227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227"/>
      <c r="B983" s="227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227"/>
      <c r="B984" s="227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227"/>
      <c r="B985" s="227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227"/>
      <c r="B986" s="227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227"/>
      <c r="B987" s="227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227"/>
      <c r="B988" s="227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227"/>
      <c r="B989" s="227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227"/>
      <c r="B990" s="227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227"/>
      <c r="B991" s="227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227"/>
      <c r="B992" s="227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227"/>
      <c r="B993" s="227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227"/>
      <c r="B994" s="227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227"/>
      <c r="B995" s="227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227"/>
      <c r="B996" s="227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227"/>
      <c r="B997" s="227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227"/>
      <c r="B998" s="227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227"/>
      <c r="B999" s="227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227"/>
      <c r="B1000" s="227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>
      <c r="A1001" s="227"/>
      <c r="B1001" s="227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  <row r="1002">
      <c r="A1002" s="227"/>
      <c r="B1002" s="227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</row>
    <row r="1003">
      <c r="A1003" s="227"/>
      <c r="B1003" s="227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</row>
    <row r="1004">
      <c r="A1004" s="227"/>
      <c r="B1004" s="227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</row>
    <row r="1005">
      <c r="A1005" s="227"/>
      <c r="B1005" s="227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</row>
    <row r="1006">
      <c r="A1006" s="227"/>
      <c r="B1006" s="227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</row>
    <row r="1007">
      <c r="A1007" s="227"/>
      <c r="B1007" s="227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</row>
    <row r="1008">
      <c r="A1008" s="227"/>
      <c r="B1008" s="227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</row>
    <row r="1009">
      <c r="A1009" s="227"/>
      <c r="B1009" s="227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</row>
    <row r="1010">
      <c r="A1010" s="227"/>
      <c r="B1010" s="227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</row>
    <row r="1011">
      <c r="A1011" s="227"/>
      <c r="B1011" s="227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</row>
    <row r="1012">
      <c r="A1012" s="227"/>
      <c r="B1012" s="227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</row>
    <row r="1013">
      <c r="A1013" s="227"/>
      <c r="B1013" s="227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</row>
    <row r="1014">
      <c r="A1014" s="227"/>
      <c r="B1014" s="227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</row>
    <row r="1015">
      <c r="A1015" s="227"/>
      <c r="B1015" s="227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</row>
    <row r="1016">
      <c r="A1016" s="227"/>
      <c r="B1016" s="227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</row>
    <row r="1017">
      <c r="A1017" s="227"/>
      <c r="B1017" s="227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</row>
    <row r="1018">
      <c r="A1018" s="227"/>
      <c r="B1018" s="227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</row>
    <row r="1019">
      <c r="A1019" s="227"/>
      <c r="B1019" s="227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</row>
    <row r="1020">
      <c r="A1020" s="227"/>
      <c r="B1020" s="227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</row>
    <row r="1021">
      <c r="A1021" s="227"/>
      <c r="B1021" s="227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</row>
    <row r="1022">
      <c r="A1022" s="227"/>
      <c r="B1022" s="227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</row>
    <row r="1023">
      <c r="A1023" s="227"/>
      <c r="B1023" s="227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</row>
    <row r="1024">
      <c r="A1024" s="227"/>
      <c r="B1024" s="227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</row>
    <row r="1025">
      <c r="A1025" s="227"/>
      <c r="B1025" s="227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</row>
    <row r="1026">
      <c r="A1026" s="227"/>
      <c r="B1026" s="227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</row>
    <row r="1027">
      <c r="A1027" s="227"/>
      <c r="B1027" s="227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</row>
    <row r="1028">
      <c r="A1028" s="227"/>
      <c r="B1028" s="227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</row>
    <row r="1029">
      <c r="A1029" s="227"/>
      <c r="B1029" s="227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</row>
    <row r="1030">
      <c r="A1030" s="227"/>
      <c r="B1030" s="227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</row>
    <row r="1031">
      <c r="A1031" s="227"/>
      <c r="B1031" s="227"/>
      <c r="C1031" s="4"/>
      <c r="D1031" s="4"/>
      <c r="E1031" s="4"/>
      <c r="F1031" s="4"/>
      <c r="G1031" s="4"/>
      <c r="H1031" s="4"/>
      <c r="I1031" s="4"/>
      <c r="J1031" s="4"/>
      <c r="K1031" s="4"/>
      <c r="L1031" s="4"/>
      <c r="M1031" s="4"/>
      <c r="N1031" s="4"/>
      <c r="O1031" s="4"/>
      <c r="P1031" s="4"/>
      <c r="Q1031" s="4"/>
      <c r="R1031" s="4"/>
      <c r="S1031" s="4"/>
      <c r="T1031" s="4"/>
      <c r="U1031" s="4"/>
      <c r="V1031" s="4"/>
      <c r="W1031" s="4"/>
      <c r="X1031" s="4"/>
      <c r="Y1031" s="4"/>
      <c r="Z1031" s="4"/>
      <c r="AA1031" s="4"/>
    </row>
    <row r="1032">
      <c r="A1032" s="227"/>
      <c r="B1032" s="227"/>
      <c r="C1032" s="4"/>
      <c r="D1032" s="4"/>
      <c r="E1032" s="4"/>
      <c r="F1032" s="4"/>
      <c r="G1032" s="4"/>
      <c r="H1032" s="4"/>
      <c r="I1032" s="4"/>
      <c r="J1032" s="4"/>
      <c r="K1032" s="4"/>
      <c r="L1032" s="4"/>
      <c r="M1032" s="4"/>
      <c r="N1032" s="4"/>
      <c r="O1032" s="4"/>
      <c r="P1032" s="4"/>
      <c r="Q1032" s="4"/>
      <c r="R1032" s="4"/>
      <c r="S1032" s="4"/>
      <c r="T1032" s="4"/>
      <c r="U1032" s="4"/>
      <c r="V1032" s="4"/>
      <c r="W1032" s="4"/>
      <c r="X1032" s="4"/>
      <c r="Y1032" s="4"/>
      <c r="Z1032" s="4"/>
      <c r="AA1032" s="4"/>
    </row>
    <row r="1033">
      <c r="A1033" s="227"/>
      <c r="B1033" s="227"/>
      <c r="C1033" s="4"/>
      <c r="D1033" s="4"/>
      <c r="E1033" s="4"/>
      <c r="F1033" s="4"/>
      <c r="G1033" s="4"/>
      <c r="H1033" s="4"/>
      <c r="I1033" s="4"/>
      <c r="J1033" s="4"/>
      <c r="K1033" s="4"/>
      <c r="L1033" s="4"/>
      <c r="M1033" s="4"/>
      <c r="N1033" s="4"/>
      <c r="O1033" s="4"/>
      <c r="P1033" s="4"/>
      <c r="Q1033" s="4"/>
      <c r="R1033" s="4"/>
      <c r="S1033" s="4"/>
      <c r="T1033" s="4"/>
      <c r="U1033" s="4"/>
      <c r="V1033" s="4"/>
      <c r="W1033" s="4"/>
      <c r="X1033" s="4"/>
      <c r="Y1033" s="4"/>
      <c r="Z1033" s="4"/>
      <c r="AA1033" s="4"/>
    </row>
    <row r="1034">
      <c r="A1034" s="227"/>
      <c r="B1034" s="227"/>
      <c r="C1034" s="4"/>
      <c r="D1034" s="4"/>
      <c r="E1034" s="4"/>
      <c r="F1034" s="4"/>
      <c r="G1034" s="4"/>
      <c r="H1034" s="4"/>
      <c r="I1034" s="4"/>
      <c r="J1034" s="4"/>
      <c r="K1034" s="4"/>
      <c r="L1034" s="4"/>
      <c r="M1034" s="4"/>
      <c r="N1034" s="4"/>
      <c r="O1034" s="4"/>
      <c r="P1034" s="4"/>
      <c r="Q1034" s="4"/>
      <c r="R1034" s="4"/>
      <c r="S1034" s="4"/>
      <c r="T1034" s="4"/>
      <c r="U1034" s="4"/>
      <c r="V1034" s="4"/>
      <c r="W1034" s="4"/>
      <c r="X1034" s="4"/>
      <c r="Y1034" s="4"/>
      <c r="Z1034" s="4"/>
      <c r="AA1034" s="4"/>
    </row>
    <row r="1035">
      <c r="A1035" s="227"/>
      <c r="B1035" s="227"/>
      <c r="C1035" s="4"/>
      <c r="D1035" s="4"/>
      <c r="E1035" s="4"/>
      <c r="F1035" s="4"/>
      <c r="G1035" s="4"/>
      <c r="H1035" s="4"/>
      <c r="I1035" s="4"/>
      <c r="J1035" s="4"/>
      <c r="K1035" s="4"/>
      <c r="L1035" s="4"/>
      <c r="M1035" s="4"/>
      <c r="N1035" s="4"/>
      <c r="O1035" s="4"/>
      <c r="P1035" s="4"/>
      <c r="Q1035" s="4"/>
      <c r="R1035" s="4"/>
      <c r="S1035" s="4"/>
      <c r="T1035" s="4"/>
      <c r="U1035" s="4"/>
      <c r="V1035" s="4"/>
      <c r="W1035" s="4"/>
      <c r="X1035" s="4"/>
      <c r="Y1035" s="4"/>
      <c r="Z1035" s="4"/>
      <c r="AA1035" s="4"/>
    </row>
    <row r="1036">
      <c r="A1036" s="227"/>
      <c r="B1036" s="227"/>
      <c r="C1036" s="4"/>
      <c r="D1036" s="4"/>
      <c r="E1036" s="4"/>
      <c r="F1036" s="4"/>
      <c r="G1036" s="4"/>
      <c r="H1036" s="4"/>
      <c r="I1036" s="4"/>
      <c r="J1036" s="4"/>
      <c r="K1036" s="4"/>
      <c r="L1036" s="4"/>
      <c r="M1036" s="4"/>
      <c r="N1036" s="4"/>
      <c r="O1036" s="4"/>
      <c r="P1036" s="4"/>
      <c r="Q1036" s="4"/>
      <c r="R1036" s="4"/>
      <c r="S1036" s="4"/>
      <c r="T1036" s="4"/>
      <c r="U1036" s="4"/>
      <c r="V1036" s="4"/>
      <c r="W1036" s="4"/>
      <c r="X1036" s="4"/>
      <c r="Y1036" s="4"/>
      <c r="Z1036" s="4"/>
      <c r="AA1036" s="4"/>
    </row>
    <row r="1037">
      <c r="A1037" s="227"/>
      <c r="B1037" s="227"/>
      <c r="C1037" s="4"/>
      <c r="D1037" s="4"/>
      <c r="E1037" s="4"/>
      <c r="F1037" s="4"/>
      <c r="G1037" s="4"/>
      <c r="H1037" s="4"/>
      <c r="I1037" s="4"/>
      <c r="J1037" s="4"/>
      <c r="K1037" s="4"/>
      <c r="L1037" s="4"/>
      <c r="M1037" s="4"/>
      <c r="N1037" s="4"/>
      <c r="O1037" s="4"/>
      <c r="P1037" s="4"/>
      <c r="Q1037" s="4"/>
      <c r="R1037" s="4"/>
      <c r="S1037" s="4"/>
      <c r="T1037" s="4"/>
      <c r="U1037" s="4"/>
      <c r="V1037" s="4"/>
      <c r="W1037" s="4"/>
      <c r="X1037" s="4"/>
      <c r="Y1037" s="4"/>
      <c r="Z1037" s="4"/>
      <c r="AA1037" s="4"/>
    </row>
    <row r="1038">
      <c r="A1038" s="227"/>
      <c r="B1038" s="227"/>
      <c r="C1038" s="4"/>
      <c r="D1038" s="4"/>
      <c r="E1038" s="4"/>
      <c r="F1038" s="4"/>
      <c r="G1038" s="4"/>
      <c r="H1038" s="4"/>
      <c r="I1038" s="4"/>
      <c r="J1038" s="4"/>
      <c r="K1038" s="4"/>
      <c r="L1038" s="4"/>
      <c r="M1038" s="4"/>
      <c r="N1038" s="4"/>
      <c r="O1038" s="4"/>
      <c r="P1038" s="4"/>
      <c r="Q1038" s="4"/>
      <c r="R1038" s="4"/>
      <c r="S1038" s="4"/>
      <c r="T1038" s="4"/>
      <c r="U1038" s="4"/>
      <c r="V1038" s="4"/>
      <c r="W1038" s="4"/>
      <c r="X1038" s="4"/>
      <c r="Y1038" s="4"/>
      <c r="Z1038" s="4"/>
      <c r="AA1038" s="4"/>
    </row>
    <row r="1039">
      <c r="A1039" s="227"/>
      <c r="B1039" s="227"/>
      <c r="C1039" s="4"/>
      <c r="D1039" s="4"/>
      <c r="E1039" s="4"/>
      <c r="F1039" s="4"/>
      <c r="G1039" s="4"/>
      <c r="H1039" s="4"/>
      <c r="I1039" s="4"/>
      <c r="J1039" s="4"/>
      <c r="K1039" s="4"/>
      <c r="L1039" s="4"/>
      <c r="M1039" s="4"/>
      <c r="N1039" s="4"/>
      <c r="O1039" s="4"/>
      <c r="P1039" s="4"/>
      <c r="Q1039" s="4"/>
      <c r="R1039" s="4"/>
      <c r="S1039" s="4"/>
      <c r="T1039" s="4"/>
      <c r="U1039" s="4"/>
      <c r="V1039" s="4"/>
      <c r="W1039" s="4"/>
      <c r="X1039" s="4"/>
      <c r="Y1039" s="4"/>
      <c r="Z1039" s="4"/>
      <c r="AA1039" s="4"/>
    </row>
    <row r="1040">
      <c r="A1040" s="227"/>
      <c r="B1040" s="227"/>
      <c r="C1040" s="4"/>
      <c r="D1040" s="4"/>
      <c r="E1040" s="4"/>
      <c r="F1040" s="4"/>
      <c r="G1040" s="4"/>
      <c r="H1040" s="4"/>
      <c r="I1040" s="4"/>
      <c r="J1040" s="4"/>
      <c r="K1040" s="4"/>
      <c r="L1040" s="4"/>
      <c r="M1040" s="4"/>
      <c r="N1040" s="4"/>
      <c r="O1040" s="4"/>
      <c r="P1040" s="4"/>
      <c r="Q1040" s="4"/>
      <c r="R1040" s="4"/>
      <c r="S1040" s="4"/>
      <c r="T1040" s="4"/>
      <c r="U1040" s="4"/>
      <c r="V1040" s="4"/>
      <c r="W1040" s="4"/>
      <c r="X1040" s="4"/>
      <c r="Y1040" s="4"/>
      <c r="Z1040" s="4"/>
      <c r="AA1040" s="4"/>
    </row>
    <row r="1041">
      <c r="A1041" s="227"/>
      <c r="B1041" s="227"/>
      <c r="C1041" s="4"/>
      <c r="D1041" s="4"/>
      <c r="E1041" s="4"/>
      <c r="F1041" s="4"/>
      <c r="G1041" s="4"/>
      <c r="H1041" s="4"/>
      <c r="I1041" s="4"/>
      <c r="J1041" s="4"/>
      <c r="K1041" s="4"/>
      <c r="L1041" s="4"/>
      <c r="M1041" s="4"/>
      <c r="N1041" s="4"/>
      <c r="O1041" s="4"/>
      <c r="P1041" s="4"/>
      <c r="Q1041" s="4"/>
      <c r="R1041" s="4"/>
      <c r="S1041" s="4"/>
      <c r="T1041" s="4"/>
      <c r="U1041" s="4"/>
      <c r="V1041" s="4"/>
      <c r="W1041" s="4"/>
      <c r="X1041" s="4"/>
      <c r="Y1041" s="4"/>
      <c r="Z1041" s="4"/>
      <c r="AA1041" s="4"/>
    </row>
    <row r="1042">
      <c r="A1042" s="227"/>
      <c r="B1042" s="227"/>
      <c r="C1042" s="4"/>
      <c r="D1042" s="4"/>
      <c r="E1042" s="4"/>
      <c r="F1042" s="4"/>
      <c r="G1042" s="4"/>
      <c r="H1042" s="4"/>
      <c r="I1042" s="4"/>
      <c r="J1042" s="4"/>
      <c r="K1042" s="4"/>
      <c r="L1042" s="4"/>
      <c r="M1042" s="4"/>
      <c r="N1042" s="4"/>
      <c r="O1042" s="4"/>
      <c r="P1042" s="4"/>
      <c r="Q1042" s="4"/>
      <c r="R1042" s="4"/>
      <c r="S1042" s="4"/>
      <c r="T1042" s="4"/>
      <c r="U1042" s="4"/>
      <c r="V1042" s="4"/>
      <c r="W1042" s="4"/>
      <c r="X1042" s="4"/>
      <c r="Y1042" s="4"/>
      <c r="Z1042" s="4"/>
      <c r="AA1042" s="4"/>
    </row>
    <row r="1043">
      <c r="A1043" s="227"/>
      <c r="B1043" s="227"/>
      <c r="C1043" s="4"/>
      <c r="D1043" s="4"/>
      <c r="E1043" s="4"/>
      <c r="F1043" s="4"/>
      <c r="G1043" s="4"/>
      <c r="H1043" s="4"/>
      <c r="I1043" s="4"/>
      <c r="J1043" s="4"/>
      <c r="K1043" s="4"/>
      <c r="L1043" s="4"/>
      <c r="M1043" s="4"/>
      <c r="N1043" s="4"/>
      <c r="O1043" s="4"/>
      <c r="P1043" s="4"/>
      <c r="Q1043" s="4"/>
      <c r="R1043" s="4"/>
      <c r="S1043" s="4"/>
      <c r="T1043" s="4"/>
      <c r="U1043" s="4"/>
      <c r="V1043" s="4"/>
      <c r="W1043" s="4"/>
      <c r="X1043" s="4"/>
      <c r="Y1043" s="4"/>
      <c r="Z1043" s="4"/>
      <c r="AA1043" s="4"/>
    </row>
    <row r="1044">
      <c r="A1044" s="227"/>
      <c r="B1044" s="227"/>
      <c r="C1044" s="4"/>
      <c r="D1044" s="4"/>
      <c r="E1044" s="4"/>
      <c r="F1044" s="4"/>
      <c r="G1044" s="4"/>
      <c r="H1044" s="4"/>
      <c r="I1044" s="4"/>
      <c r="J1044" s="4"/>
      <c r="K1044" s="4"/>
      <c r="L1044" s="4"/>
      <c r="M1044" s="4"/>
      <c r="N1044" s="4"/>
      <c r="O1044" s="4"/>
      <c r="P1044" s="4"/>
      <c r="Q1044" s="4"/>
      <c r="R1044" s="4"/>
      <c r="S1044" s="4"/>
      <c r="T1044" s="4"/>
      <c r="U1044" s="4"/>
      <c r="V1044" s="4"/>
      <c r="W1044" s="4"/>
      <c r="X1044" s="4"/>
      <c r="Y1044" s="4"/>
      <c r="Z1044" s="4"/>
      <c r="AA1044" s="4"/>
    </row>
    <row r="1045">
      <c r="A1045" s="227"/>
      <c r="B1045" s="227"/>
      <c r="C1045" s="4"/>
      <c r="D1045" s="4"/>
      <c r="E1045" s="4"/>
      <c r="F1045" s="4"/>
      <c r="G1045" s="4"/>
      <c r="H1045" s="4"/>
      <c r="I1045" s="4"/>
      <c r="J1045" s="4"/>
      <c r="K1045" s="4"/>
      <c r="L1045" s="4"/>
      <c r="M1045" s="4"/>
      <c r="N1045" s="4"/>
      <c r="O1045" s="4"/>
      <c r="P1045" s="4"/>
      <c r="Q1045" s="4"/>
      <c r="R1045" s="4"/>
      <c r="S1045" s="4"/>
      <c r="T1045" s="4"/>
      <c r="U1045" s="4"/>
      <c r="V1045" s="4"/>
      <c r="W1045" s="4"/>
      <c r="X1045" s="4"/>
      <c r="Y1045" s="4"/>
      <c r="Z1045" s="4"/>
      <c r="AA1045" s="4"/>
    </row>
    <row r="1046">
      <c r="A1046" s="227"/>
      <c r="B1046" s="227"/>
      <c r="C1046" s="4"/>
      <c r="D1046" s="4"/>
      <c r="E1046" s="4"/>
      <c r="F1046" s="4"/>
      <c r="G1046" s="4"/>
      <c r="H1046" s="4"/>
      <c r="I1046" s="4"/>
      <c r="J1046" s="4"/>
      <c r="K1046" s="4"/>
      <c r="L1046" s="4"/>
      <c r="M1046" s="4"/>
      <c r="N1046" s="4"/>
      <c r="O1046" s="4"/>
      <c r="P1046" s="4"/>
      <c r="Q1046" s="4"/>
      <c r="R1046" s="4"/>
      <c r="S1046" s="4"/>
      <c r="T1046" s="4"/>
      <c r="U1046" s="4"/>
      <c r="V1046" s="4"/>
      <c r="W1046" s="4"/>
      <c r="X1046" s="4"/>
      <c r="Y1046" s="4"/>
      <c r="Z1046" s="4"/>
      <c r="AA1046" s="4"/>
    </row>
    <row r="1047">
      <c r="A1047" s="227"/>
      <c r="B1047" s="227"/>
      <c r="C1047" s="4"/>
      <c r="D1047" s="4"/>
      <c r="E1047" s="4"/>
      <c r="F1047" s="4"/>
      <c r="G1047" s="4"/>
      <c r="H1047" s="4"/>
      <c r="I1047" s="4"/>
      <c r="J1047" s="4"/>
      <c r="K1047" s="4"/>
      <c r="L1047" s="4"/>
      <c r="M1047" s="4"/>
      <c r="N1047" s="4"/>
      <c r="O1047" s="4"/>
      <c r="P1047" s="4"/>
      <c r="Q1047" s="4"/>
      <c r="R1047" s="4"/>
      <c r="S1047" s="4"/>
      <c r="T1047" s="4"/>
      <c r="U1047" s="4"/>
      <c r="V1047" s="4"/>
      <c r="W1047" s="4"/>
      <c r="X1047" s="4"/>
      <c r="Y1047" s="4"/>
      <c r="Z1047" s="4"/>
      <c r="AA1047" s="4"/>
    </row>
    <row r="1048">
      <c r="A1048" s="227"/>
      <c r="B1048" s="227"/>
      <c r="C1048" s="4"/>
      <c r="D1048" s="4"/>
      <c r="E1048" s="4"/>
      <c r="F1048" s="4"/>
      <c r="G1048" s="4"/>
      <c r="H1048" s="4"/>
      <c r="I1048" s="4"/>
      <c r="J1048" s="4"/>
      <c r="K1048" s="4"/>
      <c r="L1048" s="4"/>
      <c r="M1048" s="4"/>
      <c r="N1048" s="4"/>
      <c r="O1048" s="4"/>
      <c r="P1048" s="4"/>
      <c r="Q1048" s="4"/>
      <c r="R1048" s="4"/>
      <c r="S1048" s="4"/>
      <c r="T1048" s="4"/>
      <c r="U1048" s="4"/>
      <c r="V1048" s="4"/>
      <c r="W1048" s="4"/>
      <c r="X1048" s="4"/>
      <c r="Y1048" s="4"/>
      <c r="Z1048" s="4"/>
      <c r="AA1048" s="4"/>
    </row>
    <row r="1049">
      <c r="A1049" s="227"/>
      <c r="B1049" s="227"/>
      <c r="C1049" s="4"/>
      <c r="D1049" s="4"/>
      <c r="E1049" s="4"/>
      <c r="F1049" s="4"/>
      <c r="G1049" s="4"/>
      <c r="H1049" s="4"/>
      <c r="I1049" s="4"/>
      <c r="J1049" s="4"/>
      <c r="K1049" s="4"/>
      <c r="L1049" s="4"/>
      <c r="M1049" s="4"/>
      <c r="N1049" s="4"/>
      <c r="O1049" s="4"/>
      <c r="P1049" s="4"/>
      <c r="Q1049" s="4"/>
      <c r="R1049" s="4"/>
      <c r="S1049" s="4"/>
      <c r="T1049" s="4"/>
      <c r="U1049" s="4"/>
      <c r="V1049" s="4"/>
      <c r="W1049" s="4"/>
      <c r="X1049" s="4"/>
      <c r="Y1049" s="4"/>
      <c r="Z1049" s="4"/>
      <c r="AA1049" s="4"/>
    </row>
    <row r="1050">
      <c r="A1050" s="227"/>
      <c r="B1050" s="227"/>
      <c r="C1050" s="4"/>
      <c r="D1050" s="4"/>
      <c r="E1050" s="4"/>
      <c r="F1050" s="4"/>
      <c r="G1050" s="4"/>
      <c r="H1050" s="4"/>
      <c r="I1050" s="4"/>
      <c r="J1050" s="4"/>
      <c r="K1050" s="4"/>
      <c r="L1050" s="4"/>
      <c r="M1050" s="4"/>
      <c r="N1050" s="4"/>
      <c r="O1050" s="4"/>
      <c r="P1050" s="4"/>
      <c r="Q1050" s="4"/>
      <c r="R1050" s="4"/>
      <c r="S1050" s="4"/>
      <c r="T1050" s="4"/>
      <c r="U1050" s="4"/>
      <c r="V1050" s="4"/>
      <c r="W1050" s="4"/>
      <c r="X1050" s="4"/>
      <c r="Y1050" s="4"/>
      <c r="Z1050" s="4"/>
      <c r="AA1050" s="4"/>
    </row>
    <row r="1051">
      <c r="A1051" s="227"/>
      <c r="B1051" s="227"/>
      <c r="C1051" s="4"/>
      <c r="D1051" s="4"/>
      <c r="E1051" s="4"/>
      <c r="F1051" s="4"/>
      <c r="G1051" s="4"/>
      <c r="H1051" s="4"/>
      <c r="I1051" s="4"/>
      <c r="J1051" s="4"/>
      <c r="K1051" s="4"/>
      <c r="L1051" s="4"/>
      <c r="M1051" s="4"/>
      <c r="N1051" s="4"/>
      <c r="O1051" s="4"/>
      <c r="P1051" s="4"/>
      <c r="Q1051" s="4"/>
      <c r="R1051" s="4"/>
      <c r="S1051" s="4"/>
      <c r="T1051" s="4"/>
      <c r="U1051" s="4"/>
      <c r="V1051" s="4"/>
      <c r="W1051" s="4"/>
      <c r="X1051" s="4"/>
      <c r="Y1051" s="4"/>
      <c r="Z1051" s="4"/>
      <c r="AA1051" s="4"/>
    </row>
    <row r="1052">
      <c r="A1052" s="227"/>
      <c r="B1052" s="227"/>
      <c r="C1052" s="4"/>
      <c r="D1052" s="4"/>
      <c r="E1052" s="4"/>
      <c r="F1052" s="4"/>
      <c r="G1052" s="4"/>
      <c r="H1052" s="4"/>
      <c r="I1052" s="4"/>
      <c r="J1052" s="4"/>
      <c r="K1052" s="4"/>
      <c r="L1052" s="4"/>
      <c r="M1052" s="4"/>
      <c r="N1052" s="4"/>
      <c r="O1052" s="4"/>
      <c r="P1052" s="4"/>
      <c r="Q1052" s="4"/>
      <c r="R1052" s="4"/>
      <c r="S1052" s="4"/>
      <c r="T1052" s="4"/>
      <c r="U1052" s="4"/>
      <c r="V1052" s="4"/>
      <c r="W1052" s="4"/>
      <c r="X1052" s="4"/>
      <c r="Y1052" s="4"/>
      <c r="Z1052" s="4"/>
      <c r="AA1052" s="4"/>
    </row>
    <row r="1053">
      <c r="A1053" s="227"/>
      <c r="B1053" s="227"/>
      <c r="C1053" s="4"/>
      <c r="D1053" s="4"/>
      <c r="E1053" s="4"/>
      <c r="F1053" s="4"/>
      <c r="G1053" s="4"/>
      <c r="H1053" s="4"/>
      <c r="I1053" s="4"/>
      <c r="J1053" s="4"/>
      <c r="K1053" s="4"/>
      <c r="L1053" s="4"/>
      <c r="M1053" s="4"/>
      <c r="N1053" s="4"/>
      <c r="O1053" s="4"/>
      <c r="P1053" s="4"/>
      <c r="Q1053" s="4"/>
      <c r="R1053" s="4"/>
      <c r="S1053" s="4"/>
      <c r="T1053" s="4"/>
      <c r="U1053" s="4"/>
      <c r="V1053" s="4"/>
      <c r="W1053" s="4"/>
      <c r="X1053" s="4"/>
      <c r="Y1053" s="4"/>
      <c r="Z1053" s="4"/>
      <c r="AA1053" s="4"/>
    </row>
    <row r="1054">
      <c r="A1054" s="227"/>
      <c r="B1054" s="227"/>
      <c r="C1054" s="4"/>
      <c r="D1054" s="4"/>
      <c r="E1054" s="4"/>
      <c r="F1054" s="4"/>
      <c r="G1054" s="4"/>
      <c r="H1054" s="4"/>
      <c r="I1054" s="4"/>
      <c r="J1054" s="4"/>
      <c r="K1054" s="4"/>
      <c r="L1054" s="4"/>
      <c r="M1054" s="4"/>
      <c r="N1054" s="4"/>
      <c r="O1054" s="4"/>
      <c r="P1054" s="4"/>
      <c r="Q1054" s="4"/>
      <c r="R1054" s="4"/>
      <c r="S1054" s="4"/>
      <c r="T1054" s="4"/>
      <c r="U1054" s="4"/>
      <c r="V1054" s="4"/>
      <c r="W1054" s="4"/>
      <c r="X1054" s="4"/>
      <c r="Y1054" s="4"/>
      <c r="Z1054" s="4"/>
      <c r="AA1054" s="4"/>
    </row>
    <row r="1055">
      <c r="A1055" s="227"/>
      <c r="B1055" s="227"/>
      <c r="C1055" s="4"/>
      <c r="D1055" s="4"/>
      <c r="E1055" s="4"/>
      <c r="F1055" s="4"/>
      <c r="G1055" s="4"/>
      <c r="H1055" s="4"/>
      <c r="I1055" s="4"/>
      <c r="J1055" s="4"/>
      <c r="K1055" s="4"/>
      <c r="L1055" s="4"/>
      <c r="M1055" s="4"/>
      <c r="N1055" s="4"/>
      <c r="O1055" s="4"/>
      <c r="P1055" s="4"/>
      <c r="Q1055" s="4"/>
      <c r="R1055" s="4"/>
      <c r="S1055" s="4"/>
      <c r="T1055" s="4"/>
      <c r="U1055" s="4"/>
      <c r="V1055" s="4"/>
      <c r="W1055" s="4"/>
      <c r="X1055" s="4"/>
      <c r="Y1055" s="4"/>
      <c r="Z1055" s="4"/>
      <c r="AA1055" s="4"/>
    </row>
    <row r="1056">
      <c r="A1056" s="227"/>
      <c r="B1056" s="227"/>
      <c r="C1056" s="4"/>
      <c r="D1056" s="4"/>
      <c r="E1056" s="4"/>
      <c r="F1056" s="4"/>
      <c r="G1056" s="4"/>
      <c r="H1056" s="4"/>
      <c r="I1056" s="4"/>
      <c r="J1056" s="4"/>
      <c r="K1056" s="4"/>
      <c r="L1056" s="4"/>
      <c r="M1056" s="4"/>
      <c r="N1056" s="4"/>
      <c r="O1056" s="4"/>
      <c r="P1056" s="4"/>
      <c r="Q1056" s="4"/>
      <c r="R1056" s="4"/>
      <c r="S1056" s="4"/>
      <c r="T1056" s="4"/>
      <c r="U1056" s="4"/>
      <c r="V1056" s="4"/>
      <c r="W1056" s="4"/>
      <c r="X1056" s="4"/>
      <c r="Y1056" s="4"/>
      <c r="Z1056" s="4"/>
      <c r="AA1056" s="4"/>
    </row>
    <row r="1057">
      <c r="A1057" s="227"/>
      <c r="B1057" s="227"/>
      <c r="C1057" s="4"/>
      <c r="D1057" s="4"/>
      <c r="E1057" s="4"/>
      <c r="F1057" s="4"/>
      <c r="G1057" s="4"/>
      <c r="H1057" s="4"/>
      <c r="I1057" s="4"/>
      <c r="J1057" s="4"/>
      <c r="K1057" s="4"/>
      <c r="L1057" s="4"/>
      <c r="M1057" s="4"/>
      <c r="N1057" s="4"/>
      <c r="O1057" s="4"/>
      <c r="P1057" s="4"/>
      <c r="Q1057" s="4"/>
      <c r="R1057" s="4"/>
      <c r="S1057" s="4"/>
      <c r="T1057" s="4"/>
      <c r="U1057" s="4"/>
      <c r="V1057" s="4"/>
      <c r="W1057" s="4"/>
      <c r="X1057" s="4"/>
      <c r="Y1057" s="4"/>
      <c r="Z1057" s="4"/>
      <c r="AA1057" s="4"/>
    </row>
    <row r="1058">
      <c r="A1058" s="227"/>
      <c r="B1058" s="227"/>
      <c r="C1058" s="4"/>
      <c r="D1058" s="4"/>
      <c r="E1058" s="4"/>
      <c r="F1058" s="4"/>
      <c r="G1058" s="4"/>
      <c r="H1058" s="4"/>
      <c r="I1058" s="4"/>
      <c r="J1058" s="4"/>
      <c r="K1058" s="4"/>
      <c r="L1058" s="4"/>
      <c r="M1058" s="4"/>
      <c r="N1058" s="4"/>
      <c r="O1058" s="4"/>
      <c r="P1058" s="4"/>
      <c r="Q1058" s="4"/>
      <c r="R1058" s="4"/>
      <c r="S1058" s="4"/>
      <c r="T1058" s="4"/>
      <c r="U1058" s="4"/>
      <c r="V1058" s="4"/>
      <c r="W1058" s="4"/>
      <c r="X1058" s="4"/>
      <c r="Y1058" s="4"/>
      <c r="Z1058" s="4"/>
      <c r="AA1058" s="4"/>
    </row>
    <row r="1059">
      <c r="A1059" s="227"/>
      <c r="B1059" s="227"/>
      <c r="C1059" s="4"/>
      <c r="D1059" s="4"/>
      <c r="E1059" s="4"/>
      <c r="F1059" s="4"/>
      <c r="G1059" s="4"/>
      <c r="H1059" s="4"/>
      <c r="I1059" s="4"/>
      <c r="J1059" s="4"/>
      <c r="K1059" s="4"/>
      <c r="L1059" s="4"/>
      <c r="M1059" s="4"/>
      <c r="N1059" s="4"/>
      <c r="O1059" s="4"/>
      <c r="P1059" s="4"/>
      <c r="Q1059" s="4"/>
      <c r="R1059" s="4"/>
      <c r="S1059" s="4"/>
      <c r="T1059" s="4"/>
      <c r="U1059" s="4"/>
      <c r="V1059" s="4"/>
      <c r="W1059" s="4"/>
      <c r="X1059" s="4"/>
      <c r="Y1059" s="4"/>
      <c r="Z1059" s="4"/>
      <c r="AA1059" s="4"/>
    </row>
    <row r="1060">
      <c r="A1060" s="227"/>
      <c r="B1060" s="227"/>
      <c r="C1060" s="4"/>
      <c r="D1060" s="4"/>
      <c r="E1060" s="4"/>
      <c r="F1060" s="4"/>
      <c r="G1060" s="4"/>
      <c r="H1060" s="4"/>
      <c r="I1060" s="4"/>
      <c r="J1060" s="4"/>
      <c r="K1060" s="4"/>
      <c r="L1060" s="4"/>
      <c r="M1060" s="4"/>
      <c r="N1060" s="4"/>
      <c r="O1060" s="4"/>
      <c r="P1060" s="4"/>
      <c r="Q1060" s="4"/>
      <c r="R1060" s="4"/>
      <c r="S1060" s="4"/>
      <c r="T1060" s="4"/>
      <c r="U1060" s="4"/>
      <c r="V1060" s="4"/>
      <c r="W1060" s="4"/>
      <c r="X1060" s="4"/>
      <c r="Y1060" s="4"/>
      <c r="Z1060" s="4"/>
      <c r="AA1060" s="4"/>
    </row>
    <row r="1061">
      <c r="A1061" s="227"/>
      <c r="B1061" s="227"/>
      <c r="C1061" s="4"/>
      <c r="D1061" s="4"/>
      <c r="E1061" s="4"/>
      <c r="F1061" s="4"/>
      <c r="G1061" s="4"/>
      <c r="H1061" s="4"/>
      <c r="I1061" s="4"/>
      <c r="J1061" s="4"/>
      <c r="K1061" s="4"/>
      <c r="L1061" s="4"/>
      <c r="M1061" s="4"/>
      <c r="N1061" s="4"/>
      <c r="O1061" s="4"/>
      <c r="P1061" s="4"/>
      <c r="Q1061" s="4"/>
      <c r="R1061" s="4"/>
      <c r="S1061" s="4"/>
      <c r="T1061" s="4"/>
      <c r="U1061" s="4"/>
      <c r="V1061" s="4"/>
      <c r="W1061" s="4"/>
      <c r="X1061" s="4"/>
      <c r="Y1061" s="4"/>
      <c r="Z1061" s="4"/>
      <c r="AA1061" s="4"/>
    </row>
    <row r="1062">
      <c r="A1062" s="227"/>
      <c r="B1062" s="227"/>
      <c r="C1062" s="4"/>
      <c r="D1062" s="4"/>
      <c r="E1062" s="4"/>
      <c r="F1062" s="4"/>
      <c r="G1062" s="4"/>
      <c r="H1062" s="4"/>
      <c r="I1062" s="4"/>
      <c r="J1062" s="4"/>
      <c r="K1062" s="4"/>
      <c r="L1062" s="4"/>
      <c r="M1062" s="4"/>
      <c r="N1062" s="4"/>
      <c r="O1062" s="4"/>
      <c r="P1062" s="4"/>
      <c r="Q1062" s="4"/>
      <c r="R1062" s="4"/>
      <c r="S1062" s="4"/>
      <c r="T1062" s="4"/>
      <c r="U1062" s="4"/>
      <c r="V1062" s="4"/>
      <c r="W1062" s="4"/>
      <c r="X1062" s="4"/>
      <c r="Y1062" s="4"/>
      <c r="Z1062" s="4"/>
      <c r="AA1062" s="4"/>
    </row>
    <row r="1063">
      <c r="A1063" s="227"/>
      <c r="B1063" s="227"/>
      <c r="C1063" s="4"/>
      <c r="D1063" s="4"/>
      <c r="E1063" s="4"/>
      <c r="F1063" s="4"/>
      <c r="G1063" s="4"/>
      <c r="H1063" s="4"/>
      <c r="I1063" s="4"/>
      <c r="J1063" s="4"/>
      <c r="K1063" s="4"/>
      <c r="L1063" s="4"/>
      <c r="M1063" s="4"/>
      <c r="N1063" s="4"/>
      <c r="O1063" s="4"/>
      <c r="P1063" s="4"/>
      <c r="Q1063" s="4"/>
      <c r="R1063" s="4"/>
      <c r="S1063" s="4"/>
      <c r="T1063" s="4"/>
      <c r="U1063" s="4"/>
      <c r="V1063" s="4"/>
      <c r="W1063" s="4"/>
      <c r="X1063" s="4"/>
      <c r="Y1063" s="4"/>
      <c r="Z1063" s="4"/>
      <c r="AA1063" s="4"/>
    </row>
    <row r="1064">
      <c r="A1064" s="227"/>
      <c r="B1064" s="227"/>
      <c r="C1064" s="4"/>
      <c r="D1064" s="4"/>
      <c r="E1064" s="4"/>
      <c r="F1064" s="4"/>
      <c r="G1064" s="4"/>
      <c r="H1064" s="4"/>
      <c r="I1064" s="4"/>
      <c r="J1064" s="4"/>
      <c r="K1064" s="4"/>
      <c r="L1064" s="4"/>
      <c r="M1064" s="4"/>
      <c r="N1064" s="4"/>
      <c r="O1064" s="4"/>
      <c r="P1064" s="4"/>
      <c r="Q1064" s="4"/>
      <c r="R1064" s="4"/>
      <c r="S1064" s="4"/>
      <c r="T1064" s="4"/>
      <c r="U1064" s="4"/>
      <c r="V1064" s="4"/>
      <c r="W1064" s="4"/>
      <c r="X1064" s="4"/>
      <c r="Y1064" s="4"/>
      <c r="Z1064" s="4"/>
      <c r="AA1064" s="4"/>
    </row>
  </sheetData>
  <mergeCells count="37">
    <mergeCell ref="A1:AA2"/>
    <mergeCell ref="A4:A8"/>
    <mergeCell ref="B4:B8"/>
    <mergeCell ref="A9:A13"/>
    <mergeCell ref="B9:B13"/>
    <mergeCell ref="A14:A19"/>
    <mergeCell ref="B14:B19"/>
    <mergeCell ref="A20:A25"/>
    <mergeCell ref="B20:B25"/>
    <mergeCell ref="A26:A31"/>
    <mergeCell ref="B26:B31"/>
    <mergeCell ref="A32:A37"/>
    <mergeCell ref="B32:B37"/>
    <mergeCell ref="B38:B43"/>
    <mergeCell ref="A83:A88"/>
    <mergeCell ref="A89:A97"/>
    <mergeCell ref="A99:A104"/>
    <mergeCell ref="A105:A110"/>
    <mergeCell ref="A111:A117"/>
    <mergeCell ref="A38:A43"/>
    <mergeCell ref="A44:A49"/>
    <mergeCell ref="A50:A55"/>
    <mergeCell ref="A56:A61"/>
    <mergeCell ref="A62:A67"/>
    <mergeCell ref="A68:A73"/>
    <mergeCell ref="A74:A82"/>
    <mergeCell ref="B89:B97"/>
    <mergeCell ref="B99:B104"/>
    <mergeCell ref="B105:B110"/>
    <mergeCell ref="B111:B117"/>
    <mergeCell ref="B44:B49"/>
    <mergeCell ref="B50:B55"/>
    <mergeCell ref="B56:B61"/>
    <mergeCell ref="B62:B67"/>
    <mergeCell ref="B68:B73"/>
    <mergeCell ref="B74:B82"/>
    <mergeCell ref="B83:B88"/>
  </mergeCells>
  <dataValidations>
    <dataValidation type="list" allowBlank="1" sqref="D4:D117">
      <formula1>"ESTRATÉGICO,RESULTADO,PROCESSO,CONTRATUAL,CUSTO,CONTROLE"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3.0" topLeftCell="A4" activePane="bottomLeft" state="frozen"/>
      <selection activeCell="B5" sqref="B5" pane="bottomLeft"/>
    </sheetView>
  </sheetViews>
  <sheetFormatPr customHeight="1" defaultColWidth="12.63" defaultRowHeight="15.0"/>
  <cols>
    <col customWidth="1" min="1" max="1" width="31.88"/>
    <col customWidth="1" min="2" max="3" width="32.88"/>
    <col customWidth="1" min="4" max="4" width="23.75"/>
    <col customWidth="1" min="5" max="5" width="42.88"/>
    <col hidden="1" min="6" max="15" width="12.63"/>
  </cols>
  <sheetData>
    <row r="1" ht="31.5" customHeight="1">
      <c r="A1" s="138" t="s">
        <v>116</v>
      </c>
      <c r="B1" s="139"/>
      <c r="C1" s="139"/>
      <c r="D1" s="139"/>
      <c r="E1" s="139"/>
      <c r="F1" s="139"/>
      <c r="G1" s="139"/>
      <c r="H1" s="139"/>
      <c r="I1" s="139"/>
      <c r="J1" s="139"/>
      <c r="K1" s="139"/>
      <c r="L1" s="139"/>
      <c r="M1" s="139"/>
      <c r="N1" s="139"/>
      <c r="O1" s="139"/>
      <c r="P1" s="139"/>
      <c r="Q1" s="139"/>
      <c r="R1" s="139"/>
      <c r="S1" s="139"/>
      <c r="T1" s="139"/>
      <c r="U1" s="139"/>
      <c r="V1" s="139"/>
      <c r="W1" s="139"/>
      <c r="X1" s="139"/>
      <c r="Y1" s="139"/>
      <c r="Z1" s="139"/>
      <c r="AA1" s="139"/>
    </row>
    <row r="2" ht="51.0" customHeight="1">
      <c r="A2" s="129"/>
      <c r="B2" s="129"/>
      <c r="C2" s="129"/>
      <c r="D2" s="129"/>
      <c r="E2" s="129"/>
      <c r="F2" s="129"/>
      <c r="G2" s="129"/>
      <c r="H2" s="129"/>
      <c r="I2" s="129"/>
      <c r="J2" s="129"/>
      <c r="K2" s="129"/>
      <c r="L2" s="129"/>
      <c r="M2" s="129"/>
      <c r="N2" s="129"/>
      <c r="O2" s="129"/>
      <c r="P2" s="129"/>
      <c r="Q2" s="129"/>
      <c r="R2" s="129"/>
      <c r="S2" s="129"/>
      <c r="T2" s="129"/>
      <c r="U2" s="129"/>
      <c r="V2" s="129"/>
      <c r="W2" s="129"/>
      <c r="X2" s="129"/>
      <c r="Y2" s="129"/>
      <c r="Z2" s="129"/>
      <c r="AA2" s="129"/>
    </row>
    <row r="3" ht="31.5" customHeight="1">
      <c r="A3" s="140" t="s">
        <v>96</v>
      </c>
      <c r="B3" s="140" t="s">
        <v>156</v>
      </c>
      <c r="C3" s="140" t="s">
        <v>157</v>
      </c>
      <c r="D3" s="140" t="s">
        <v>158</v>
      </c>
      <c r="E3" s="140" t="s">
        <v>159</v>
      </c>
      <c r="F3" s="141">
        <v>45741.0</v>
      </c>
      <c r="G3" s="141">
        <v>45772.0</v>
      </c>
      <c r="H3" s="141">
        <v>45802.0</v>
      </c>
      <c r="I3" s="141">
        <v>45833.0</v>
      </c>
      <c r="J3" s="141">
        <v>45863.0</v>
      </c>
      <c r="K3" s="141">
        <v>45894.0</v>
      </c>
      <c r="L3" s="141">
        <v>45925.0</v>
      </c>
      <c r="M3" s="141">
        <v>45955.0</v>
      </c>
      <c r="N3" s="141">
        <v>45986.0</v>
      </c>
      <c r="O3" s="141">
        <v>46016.0</v>
      </c>
      <c r="P3" s="228">
        <v>46048.0</v>
      </c>
      <c r="Q3" s="228">
        <v>46079.0</v>
      </c>
      <c r="R3" s="228">
        <v>46107.0</v>
      </c>
      <c r="S3" s="228">
        <v>46138.0</v>
      </c>
      <c r="T3" s="228">
        <v>46168.0</v>
      </c>
      <c r="U3" s="229" t="s">
        <v>160</v>
      </c>
      <c r="V3" s="228">
        <v>46229.0</v>
      </c>
      <c r="W3" s="228">
        <v>46260.0</v>
      </c>
      <c r="X3" s="228">
        <v>46291.0</v>
      </c>
      <c r="Y3" s="228">
        <v>46321.0</v>
      </c>
      <c r="Z3" s="228">
        <v>46352.0</v>
      </c>
      <c r="AA3" s="228">
        <v>46382.0</v>
      </c>
    </row>
    <row r="4">
      <c r="A4" s="257" t="s">
        <v>101</v>
      </c>
      <c r="B4" s="166" t="s">
        <v>338</v>
      </c>
      <c r="C4" s="146" t="s">
        <v>339</v>
      </c>
      <c r="D4" s="146" t="s">
        <v>156</v>
      </c>
      <c r="E4" s="146" t="s">
        <v>340</v>
      </c>
      <c r="F4" s="146"/>
      <c r="G4" s="146"/>
      <c r="H4" s="146"/>
      <c r="I4" s="146"/>
      <c r="J4" s="151"/>
      <c r="K4" s="151"/>
      <c r="L4" s="151"/>
      <c r="M4" s="170"/>
      <c r="N4" s="170"/>
      <c r="O4" s="170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>
      <c r="A5" s="71"/>
      <c r="B5" s="71"/>
      <c r="C5" s="146" t="s">
        <v>341</v>
      </c>
      <c r="D5" s="258"/>
      <c r="E5" s="146"/>
      <c r="F5" s="146"/>
      <c r="G5" s="146"/>
      <c r="H5" s="146"/>
      <c r="I5" s="146"/>
      <c r="J5" s="151"/>
      <c r="K5" s="151"/>
      <c r="L5" s="151"/>
      <c r="M5" s="151"/>
      <c r="N5" s="151"/>
      <c r="O5" s="151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>
      <c r="A6" s="71"/>
      <c r="B6" s="71"/>
      <c r="C6" s="146" t="s">
        <v>342</v>
      </c>
      <c r="D6" s="258"/>
      <c r="E6" s="146"/>
      <c r="F6" s="146"/>
      <c r="G6" s="146"/>
      <c r="H6" s="146"/>
      <c r="I6" s="146"/>
      <c r="J6" s="151"/>
      <c r="K6" s="151"/>
      <c r="L6" s="151"/>
      <c r="M6" s="151"/>
      <c r="N6" s="151"/>
      <c r="O6" s="151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>
      <c r="A7" s="71"/>
      <c r="B7" s="71"/>
      <c r="C7" s="146" t="s">
        <v>343</v>
      </c>
      <c r="D7" s="146" t="s">
        <v>156</v>
      </c>
      <c r="E7" s="146" t="s">
        <v>344</v>
      </c>
      <c r="F7" s="146"/>
      <c r="G7" s="146"/>
      <c r="H7" s="146"/>
      <c r="I7" s="146"/>
      <c r="J7" s="151"/>
      <c r="K7" s="151"/>
      <c r="L7" s="151"/>
      <c r="M7" s="151"/>
      <c r="N7" s="151"/>
      <c r="O7" s="151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>
      <c r="A8" s="71"/>
      <c r="B8" s="71"/>
      <c r="C8" s="146" t="s">
        <v>345</v>
      </c>
      <c r="D8" s="146" t="s">
        <v>176</v>
      </c>
      <c r="E8" s="146" t="s">
        <v>346</v>
      </c>
      <c r="F8" s="146"/>
      <c r="G8" s="146"/>
      <c r="H8" s="146"/>
      <c r="I8" s="146"/>
      <c r="J8" s="151"/>
      <c r="K8" s="151"/>
      <c r="L8" s="151"/>
      <c r="M8" s="151"/>
      <c r="N8" s="151"/>
      <c r="O8" s="151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>
      <c r="A9" s="71"/>
      <c r="B9" s="71"/>
      <c r="C9" s="146" t="s">
        <v>347</v>
      </c>
      <c r="D9" s="146" t="s">
        <v>176</v>
      </c>
      <c r="E9" s="146"/>
      <c r="F9" s="146"/>
      <c r="G9" s="146"/>
      <c r="H9" s="146"/>
      <c r="I9" s="146"/>
      <c r="J9" s="151"/>
      <c r="K9" s="151"/>
      <c r="L9" s="151"/>
      <c r="M9" s="151"/>
      <c r="N9" s="151"/>
      <c r="O9" s="151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>
      <c r="A10" s="71"/>
      <c r="B10" s="71"/>
      <c r="C10" s="146" t="s">
        <v>348</v>
      </c>
      <c r="D10" s="146" t="s">
        <v>176</v>
      </c>
      <c r="E10" s="146"/>
      <c r="F10" s="146"/>
      <c r="G10" s="146"/>
      <c r="H10" s="146"/>
      <c r="I10" s="146"/>
      <c r="J10" s="151"/>
      <c r="K10" s="151"/>
      <c r="L10" s="151"/>
      <c r="M10" s="151"/>
      <c r="N10" s="151"/>
      <c r="O10" s="151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>
      <c r="A11" s="71"/>
      <c r="B11" s="71"/>
      <c r="C11" s="146" t="s">
        <v>349</v>
      </c>
      <c r="D11" s="146" t="s">
        <v>176</v>
      </c>
      <c r="E11" s="146"/>
      <c r="F11" s="146"/>
      <c r="G11" s="146"/>
      <c r="H11" s="146"/>
      <c r="I11" s="146"/>
      <c r="J11" s="151"/>
      <c r="K11" s="151"/>
      <c r="L11" s="151"/>
      <c r="M11" s="151"/>
      <c r="N11" s="151"/>
      <c r="O11" s="151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>
      <c r="A12" s="71"/>
      <c r="B12" s="71"/>
      <c r="C12" s="146" t="s">
        <v>350</v>
      </c>
      <c r="D12" s="146" t="s">
        <v>176</v>
      </c>
      <c r="E12" s="146"/>
      <c r="F12" s="146"/>
      <c r="G12" s="146"/>
      <c r="H12" s="146"/>
      <c r="I12" s="146"/>
      <c r="J12" s="151"/>
      <c r="K12" s="151"/>
      <c r="L12" s="151"/>
      <c r="M12" s="151"/>
      <c r="N12" s="151"/>
      <c r="O12" s="151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>
      <c r="A13" s="71"/>
      <c r="B13" s="71"/>
      <c r="C13" s="146" t="s">
        <v>351</v>
      </c>
      <c r="D13" s="146" t="s">
        <v>176</v>
      </c>
      <c r="E13" s="146" t="s">
        <v>182</v>
      </c>
      <c r="F13" s="146"/>
      <c r="G13" s="146"/>
      <c r="H13" s="146"/>
      <c r="I13" s="146"/>
      <c r="J13" s="151"/>
      <c r="K13" s="151"/>
      <c r="L13" s="151"/>
      <c r="M13" s="151"/>
      <c r="N13" s="151"/>
      <c r="O13" s="151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>
      <c r="A14" s="195"/>
      <c r="B14" s="195"/>
      <c r="C14" s="161" t="s">
        <v>352</v>
      </c>
      <c r="D14" s="259"/>
      <c r="E14" s="161"/>
      <c r="F14" s="161"/>
      <c r="G14" s="161"/>
      <c r="H14" s="161"/>
      <c r="I14" s="161"/>
      <c r="J14" s="260"/>
      <c r="K14" s="260"/>
      <c r="L14" s="260"/>
      <c r="M14" s="260"/>
      <c r="N14" s="260"/>
      <c r="O14" s="260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ht="72.75" customHeight="1">
      <c r="A15" s="261" t="s">
        <v>105</v>
      </c>
      <c r="B15" s="166" t="s">
        <v>353</v>
      </c>
      <c r="C15" s="262" t="s">
        <v>354</v>
      </c>
      <c r="D15" s="212" t="s">
        <v>156</v>
      </c>
      <c r="E15" s="263">
        <v>0.94</v>
      </c>
      <c r="F15" s="263"/>
      <c r="G15" s="263"/>
      <c r="H15" s="263"/>
      <c r="I15" s="263"/>
      <c r="J15" s="170"/>
      <c r="K15" s="170"/>
      <c r="L15" s="170"/>
      <c r="M15" s="170"/>
      <c r="N15" s="170"/>
      <c r="O15" s="170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ht="71.25" customHeight="1">
      <c r="A16" s="195"/>
      <c r="B16" s="195"/>
      <c r="C16" s="161" t="s">
        <v>355</v>
      </c>
      <c r="D16" s="161" t="s">
        <v>156</v>
      </c>
      <c r="E16" s="264">
        <v>0.67</v>
      </c>
      <c r="F16" s="264"/>
      <c r="G16" s="264"/>
      <c r="H16" s="264"/>
      <c r="I16" s="264"/>
      <c r="J16" s="210"/>
      <c r="K16" s="210"/>
      <c r="L16" s="210"/>
      <c r="M16" s="210"/>
      <c r="N16" s="210"/>
      <c r="O16" s="210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>
      <c r="A17" s="177" t="s">
        <v>356</v>
      </c>
      <c r="B17" s="166" t="s">
        <v>357</v>
      </c>
      <c r="C17" s="212"/>
      <c r="D17" s="212"/>
      <c r="E17" s="265"/>
      <c r="F17" s="265"/>
      <c r="G17" s="265"/>
      <c r="H17" s="265"/>
      <c r="I17" s="265"/>
      <c r="J17" s="265"/>
      <c r="K17" s="265"/>
      <c r="L17" s="265"/>
      <c r="M17" s="265"/>
      <c r="N17" s="265"/>
      <c r="O17" s="265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>
      <c r="A18" s="152"/>
      <c r="B18" s="71"/>
      <c r="C18" s="146"/>
      <c r="D18" s="146"/>
      <c r="E18" s="151"/>
      <c r="F18" s="151"/>
      <c r="G18" s="151"/>
      <c r="H18" s="151"/>
      <c r="I18" s="151"/>
      <c r="J18" s="151"/>
      <c r="K18" s="151"/>
      <c r="L18" s="151"/>
      <c r="M18" s="151"/>
      <c r="N18" s="151"/>
      <c r="O18" s="151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>
      <c r="A19" s="152"/>
      <c r="B19" s="71"/>
      <c r="C19" s="146"/>
      <c r="D19" s="146"/>
      <c r="E19" s="151"/>
      <c r="F19" s="151"/>
      <c r="G19" s="151"/>
      <c r="H19" s="151"/>
      <c r="I19" s="151"/>
      <c r="J19" s="151"/>
      <c r="K19" s="151"/>
      <c r="L19" s="151"/>
      <c r="M19" s="151"/>
      <c r="N19" s="151"/>
      <c r="O19" s="151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>
      <c r="A20" s="152"/>
      <c r="B20" s="71"/>
      <c r="C20" s="146"/>
      <c r="D20" s="146"/>
      <c r="E20" s="151"/>
      <c r="F20" s="151"/>
      <c r="G20" s="151"/>
      <c r="H20" s="151"/>
      <c r="I20" s="151"/>
      <c r="J20" s="151"/>
      <c r="K20" s="151"/>
      <c r="L20" s="151"/>
      <c r="M20" s="151"/>
      <c r="N20" s="151"/>
      <c r="O20" s="151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>
      <c r="A21" s="152"/>
      <c r="B21" s="71"/>
      <c r="C21" s="146"/>
      <c r="D21" s="146"/>
      <c r="E21" s="151"/>
      <c r="F21" s="151"/>
      <c r="G21" s="151"/>
      <c r="H21" s="151"/>
      <c r="I21" s="151"/>
      <c r="J21" s="151"/>
      <c r="K21" s="151"/>
      <c r="L21" s="151"/>
      <c r="M21" s="151"/>
      <c r="N21" s="151"/>
      <c r="O21" s="151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>
      <c r="A22" s="194"/>
      <c r="B22" s="195"/>
      <c r="C22" s="266"/>
      <c r="D22" s="267"/>
      <c r="E22" s="260"/>
      <c r="F22" s="260"/>
      <c r="G22" s="260"/>
      <c r="H22" s="260"/>
      <c r="I22" s="260"/>
      <c r="J22" s="260"/>
      <c r="K22" s="260"/>
      <c r="L22" s="260"/>
      <c r="M22" s="260"/>
      <c r="N22" s="260"/>
      <c r="O22" s="260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>
      <c r="A23" s="177" t="s">
        <v>358</v>
      </c>
      <c r="B23" s="166" t="s">
        <v>359</v>
      </c>
      <c r="C23" s="179"/>
      <c r="D23" s="178"/>
      <c r="E23" s="170"/>
      <c r="F23" s="170"/>
      <c r="G23" s="170"/>
      <c r="H23" s="170"/>
      <c r="I23" s="170"/>
      <c r="J23" s="170"/>
      <c r="K23" s="170"/>
      <c r="L23" s="170"/>
      <c r="M23" s="170"/>
      <c r="N23" s="170"/>
      <c r="O23" s="170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>
      <c r="A24" s="152"/>
      <c r="B24" s="71"/>
      <c r="C24" s="191"/>
      <c r="D24" s="146"/>
      <c r="E24" s="151"/>
      <c r="F24" s="151"/>
      <c r="G24" s="151"/>
      <c r="H24" s="151"/>
      <c r="I24" s="151"/>
      <c r="J24" s="151"/>
      <c r="K24" s="151"/>
      <c r="L24" s="151"/>
      <c r="M24" s="151"/>
      <c r="N24" s="151"/>
      <c r="O24" s="151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>
      <c r="A25" s="152"/>
      <c r="B25" s="71"/>
      <c r="C25" s="191"/>
      <c r="D25" s="146"/>
      <c r="E25" s="151"/>
      <c r="F25" s="151"/>
      <c r="G25" s="151"/>
      <c r="H25" s="151"/>
      <c r="I25" s="151"/>
      <c r="J25" s="151"/>
      <c r="K25" s="151"/>
      <c r="L25" s="151"/>
      <c r="M25" s="151"/>
      <c r="N25" s="151"/>
      <c r="O25" s="151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>
      <c r="A26" s="152"/>
      <c r="B26" s="71"/>
      <c r="C26" s="191"/>
      <c r="D26" s="146"/>
      <c r="E26" s="151"/>
      <c r="F26" s="151"/>
      <c r="G26" s="151"/>
      <c r="H26" s="151"/>
      <c r="I26" s="151"/>
      <c r="J26" s="151"/>
      <c r="K26" s="151"/>
      <c r="L26" s="151"/>
      <c r="M26" s="151"/>
      <c r="N26" s="151"/>
      <c r="O26" s="151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>
      <c r="A27" s="152"/>
      <c r="B27" s="71"/>
      <c r="C27" s="191"/>
      <c r="D27" s="146"/>
      <c r="E27" s="151"/>
      <c r="F27" s="151"/>
      <c r="G27" s="151"/>
      <c r="H27" s="151"/>
      <c r="I27" s="151"/>
      <c r="J27" s="151"/>
      <c r="K27" s="151"/>
      <c r="L27" s="151"/>
      <c r="M27" s="151"/>
      <c r="N27" s="151"/>
      <c r="O27" s="151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>
      <c r="A28" s="194"/>
      <c r="B28" s="195"/>
      <c r="C28" s="266"/>
      <c r="D28" s="267"/>
      <c r="E28" s="260"/>
      <c r="F28" s="260"/>
      <c r="G28" s="260"/>
      <c r="H28" s="260"/>
      <c r="I28" s="260"/>
      <c r="J28" s="260"/>
      <c r="K28" s="260"/>
      <c r="L28" s="260"/>
      <c r="M28" s="260"/>
      <c r="N28" s="260"/>
      <c r="O28" s="260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>
      <c r="A29" s="177" t="s">
        <v>360</v>
      </c>
      <c r="B29" s="166" t="s">
        <v>361</v>
      </c>
      <c r="C29" s="178"/>
      <c r="D29" s="178"/>
      <c r="E29" s="170"/>
      <c r="F29" s="170"/>
      <c r="G29" s="170"/>
      <c r="H29" s="170"/>
      <c r="I29" s="170"/>
      <c r="J29" s="170"/>
      <c r="K29" s="170"/>
      <c r="L29" s="170"/>
      <c r="M29" s="170"/>
      <c r="N29" s="170"/>
      <c r="O29" s="170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>
      <c r="A30" s="152"/>
      <c r="B30" s="71"/>
      <c r="C30" s="146"/>
      <c r="D30" s="146"/>
      <c r="E30" s="151"/>
      <c r="F30" s="151"/>
      <c r="G30" s="151"/>
      <c r="H30" s="151"/>
      <c r="I30" s="151"/>
      <c r="J30" s="151"/>
      <c r="K30" s="151"/>
      <c r="L30" s="151"/>
      <c r="M30" s="151"/>
      <c r="N30" s="151"/>
      <c r="O30" s="151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>
      <c r="A31" s="152"/>
      <c r="B31" s="71"/>
      <c r="C31" s="146"/>
      <c r="D31" s="146"/>
      <c r="E31" s="151"/>
      <c r="F31" s="151"/>
      <c r="G31" s="151"/>
      <c r="H31" s="151"/>
      <c r="I31" s="151"/>
      <c r="J31" s="151"/>
      <c r="K31" s="151"/>
      <c r="L31" s="151"/>
      <c r="M31" s="151"/>
      <c r="N31" s="151"/>
      <c r="O31" s="151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>
      <c r="A32" s="152"/>
      <c r="B32" s="71"/>
      <c r="C32" s="146"/>
      <c r="D32" s="146"/>
      <c r="E32" s="151"/>
      <c r="F32" s="151"/>
      <c r="G32" s="151"/>
      <c r="H32" s="151"/>
      <c r="I32" s="151"/>
      <c r="J32" s="151"/>
      <c r="K32" s="151"/>
      <c r="L32" s="151"/>
      <c r="M32" s="151"/>
      <c r="N32" s="151"/>
      <c r="O32" s="151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>
      <c r="A33" s="152"/>
      <c r="B33" s="71"/>
      <c r="C33" s="146"/>
      <c r="D33" s="146"/>
      <c r="E33" s="151"/>
      <c r="F33" s="151"/>
      <c r="G33" s="151"/>
      <c r="H33" s="151"/>
      <c r="I33" s="151"/>
      <c r="J33" s="151"/>
      <c r="K33" s="151"/>
      <c r="L33" s="151"/>
      <c r="M33" s="151"/>
      <c r="N33" s="151"/>
      <c r="O33" s="151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>
      <c r="A34" s="194"/>
      <c r="B34" s="195"/>
      <c r="C34" s="266"/>
      <c r="D34" s="267"/>
      <c r="E34" s="260"/>
      <c r="F34" s="260"/>
      <c r="G34" s="260"/>
      <c r="H34" s="260"/>
      <c r="I34" s="260"/>
      <c r="J34" s="260"/>
      <c r="K34" s="260"/>
      <c r="L34" s="260"/>
      <c r="M34" s="260"/>
      <c r="N34" s="260"/>
      <c r="O34" s="260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>
      <c r="A35" s="268" t="s">
        <v>103</v>
      </c>
      <c r="B35" s="166"/>
      <c r="C35" s="179"/>
      <c r="D35" s="178"/>
      <c r="E35" s="170"/>
      <c r="F35" s="170"/>
      <c r="G35" s="170"/>
      <c r="H35" s="170"/>
      <c r="I35" s="170"/>
      <c r="J35" s="170"/>
      <c r="K35" s="170"/>
      <c r="L35" s="170"/>
      <c r="M35" s="170"/>
      <c r="N35" s="170"/>
      <c r="O35" s="170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>
      <c r="A36" s="152"/>
      <c r="B36" s="71"/>
      <c r="C36" s="191"/>
      <c r="D36" s="146"/>
      <c r="E36" s="151"/>
      <c r="F36" s="151"/>
      <c r="G36" s="151"/>
      <c r="H36" s="151"/>
      <c r="I36" s="151"/>
      <c r="J36" s="151"/>
      <c r="K36" s="151"/>
      <c r="L36" s="151"/>
      <c r="M36" s="151"/>
      <c r="N36" s="151"/>
      <c r="O36" s="151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ht="35.25" customHeight="1">
      <c r="A37" s="152"/>
      <c r="B37" s="71"/>
      <c r="C37" s="191"/>
      <c r="D37" s="146"/>
      <c r="E37" s="151"/>
      <c r="F37" s="151"/>
      <c r="G37" s="151"/>
      <c r="H37" s="151"/>
      <c r="I37" s="151"/>
      <c r="J37" s="151"/>
      <c r="K37" s="151"/>
      <c r="L37" s="151"/>
      <c r="M37" s="151"/>
      <c r="N37" s="151"/>
      <c r="O37" s="151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>
      <c r="A38" s="152"/>
      <c r="B38" s="71"/>
      <c r="C38" s="191"/>
      <c r="D38" s="146"/>
      <c r="E38" s="151"/>
      <c r="F38" s="151"/>
      <c r="G38" s="151"/>
      <c r="H38" s="151"/>
      <c r="I38" s="151"/>
      <c r="J38" s="151"/>
      <c r="K38" s="151"/>
      <c r="L38" s="151"/>
      <c r="M38" s="151"/>
      <c r="N38" s="151"/>
      <c r="O38" s="151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>
      <c r="A39" s="152"/>
      <c r="B39" s="71"/>
      <c r="C39" s="191"/>
      <c r="D39" s="146"/>
      <c r="E39" s="151"/>
      <c r="F39" s="151"/>
      <c r="G39" s="151"/>
      <c r="H39" s="151"/>
      <c r="I39" s="151"/>
      <c r="J39" s="151"/>
      <c r="K39" s="151"/>
      <c r="L39" s="151"/>
      <c r="M39" s="151"/>
      <c r="N39" s="151"/>
      <c r="O39" s="151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>
      <c r="A40" s="194"/>
      <c r="B40" s="195"/>
      <c r="C40" s="266"/>
      <c r="D40" s="267"/>
      <c r="E40" s="260"/>
      <c r="F40" s="260"/>
      <c r="G40" s="260"/>
      <c r="H40" s="260"/>
      <c r="I40" s="260"/>
      <c r="J40" s="260"/>
      <c r="K40" s="260"/>
      <c r="L40" s="260"/>
      <c r="M40" s="260"/>
      <c r="N40" s="260"/>
      <c r="O40" s="260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>
      <c r="A41" s="177" t="s">
        <v>107</v>
      </c>
      <c r="B41" s="166"/>
      <c r="C41" s="179"/>
      <c r="D41" s="178"/>
      <c r="E41" s="170"/>
      <c r="F41" s="170"/>
      <c r="G41" s="170"/>
      <c r="H41" s="170"/>
      <c r="I41" s="170"/>
      <c r="J41" s="170"/>
      <c r="K41" s="170"/>
      <c r="L41" s="170"/>
      <c r="M41" s="170"/>
      <c r="N41" s="170"/>
      <c r="O41" s="170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>
      <c r="A42" s="152"/>
      <c r="B42" s="71"/>
      <c r="C42" s="191"/>
      <c r="D42" s="146"/>
      <c r="E42" s="151"/>
      <c r="F42" s="151"/>
      <c r="G42" s="151"/>
      <c r="H42" s="151"/>
      <c r="I42" s="151"/>
      <c r="J42" s="151"/>
      <c r="K42" s="151"/>
      <c r="L42" s="151"/>
      <c r="M42" s="151"/>
      <c r="N42" s="151"/>
      <c r="O42" s="151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>
      <c r="A43" s="152"/>
      <c r="B43" s="71"/>
      <c r="C43" s="191"/>
      <c r="D43" s="146"/>
      <c r="E43" s="151"/>
      <c r="F43" s="151"/>
      <c r="G43" s="151"/>
      <c r="H43" s="151"/>
      <c r="I43" s="151"/>
      <c r="J43" s="151"/>
      <c r="K43" s="151"/>
      <c r="L43" s="151"/>
      <c r="M43" s="151"/>
      <c r="N43" s="151"/>
      <c r="O43" s="151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>
      <c r="A44" s="152"/>
      <c r="B44" s="71"/>
      <c r="C44" s="191"/>
      <c r="D44" s="146"/>
      <c r="E44" s="151"/>
      <c r="F44" s="151"/>
      <c r="G44" s="151"/>
      <c r="H44" s="151"/>
      <c r="I44" s="151"/>
      <c r="J44" s="151"/>
      <c r="K44" s="151"/>
      <c r="L44" s="151"/>
      <c r="M44" s="151"/>
      <c r="N44" s="151"/>
      <c r="O44" s="151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>
      <c r="A45" s="152"/>
      <c r="B45" s="71"/>
      <c r="C45" s="191"/>
      <c r="D45" s="146"/>
      <c r="E45" s="151"/>
      <c r="F45" s="151"/>
      <c r="G45" s="151"/>
      <c r="H45" s="151"/>
      <c r="I45" s="151"/>
      <c r="J45" s="151"/>
      <c r="K45" s="151"/>
      <c r="L45" s="151"/>
      <c r="M45" s="151"/>
      <c r="N45" s="151"/>
      <c r="O45" s="151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>
      <c r="A46" s="194"/>
      <c r="B46" s="195"/>
      <c r="C46" s="266"/>
      <c r="D46" s="267"/>
      <c r="E46" s="260"/>
      <c r="F46" s="260"/>
      <c r="G46" s="260"/>
      <c r="H46" s="260"/>
      <c r="I46" s="260"/>
      <c r="J46" s="260"/>
      <c r="K46" s="260"/>
      <c r="L46" s="260"/>
      <c r="M46" s="260"/>
      <c r="N46" s="260"/>
      <c r="O46" s="260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>
      <c r="A47" s="177" t="s">
        <v>109</v>
      </c>
      <c r="B47" s="189" t="s">
        <v>234</v>
      </c>
      <c r="C47" s="179"/>
      <c r="D47" s="178"/>
      <c r="E47" s="170"/>
      <c r="F47" s="170"/>
      <c r="G47" s="170"/>
      <c r="H47" s="170"/>
      <c r="I47" s="170"/>
      <c r="J47" s="170"/>
      <c r="K47" s="170"/>
      <c r="L47" s="170"/>
      <c r="M47" s="170"/>
      <c r="N47" s="170"/>
      <c r="O47" s="170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>
      <c r="A48" s="152"/>
      <c r="B48" s="71"/>
      <c r="C48" s="191"/>
      <c r="D48" s="146"/>
      <c r="E48" s="151"/>
      <c r="F48" s="151"/>
      <c r="G48" s="151"/>
      <c r="H48" s="151"/>
      <c r="I48" s="151"/>
      <c r="J48" s="151"/>
      <c r="K48" s="151"/>
      <c r="L48" s="151"/>
      <c r="M48" s="151"/>
      <c r="N48" s="151"/>
      <c r="O48" s="151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>
      <c r="A49" s="152"/>
      <c r="B49" s="71"/>
      <c r="C49" s="191"/>
      <c r="D49" s="146"/>
      <c r="E49" s="151"/>
      <c r="F49" s="151"/>
      <c r="G49" s="151"/>
      <c r="H49" s="151"/>
      <c r="I49" s="151"/>
      <c r="J49" s="151"/>
      <c r="K49" s="151"/>
      <c r="L49" s="151"/>
      <c r="M49" s="151"/>
      <c r="N49" s="151"/>
      <c r="O49" s="151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>
      <c r="A50" s="152"/>
      <c r="B50" s="71"/>
      <c r="C50" s="191"/>
      <c r="D50" s="146"/>
      <c r="E50" s="151"/>
      <c r="F50" s="151"/>
      <c r="G50" s="151"/>
      <c r="H50" s="151"/>
      <c r="I50" s="151"/>
      <c r="J50" s="151"/>
      <c r="K50" s="151"/>
      <c r="L50" s="151"/>
      <c r="M50" s="151"/>
      <c r="N50" s="151"/>
      <c r="O50" s="151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>
      <c r="A51" s="152"/>
      <c r="B51" s="71"/>
      <c r="C51" s="191"/>
      <c r="D51" s="146"/>
      <c r="E51" s="151"/>
      <c r="F51" s="151"/>
      <c r="G51" s="151"/>
      <c r="H51" s="151"/>
      <c r="I51" s="151"/>
      <c r="J51" s="151"/>
      <c r="K51" s="151"/>
      <c r="L51" s="151"/>
      <c r="M51" s="151"/>
      <c r="N51" s="151"/>
      <c r="O51" s="151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>
      <c r="A52" s="194"/>
      <c r="B52" s="195"/>
      <c r="C52" s="266"/>
      <c r="D52" s="267"/>
      <c r="E52" s="260"/>
      <c r="F52" s="260"/>
      <c r="G52" s="260"/>
      <c r="H52" s="260"/>
      <c r="I52" s="260"/>
      <c r="J52" s="260"/>
      <c r="K52" s="260"/>
      <c r="L52" s="260"/>
      <c r="M52" s="260"/>
      <c r="N52" s="260"/>
      <c r="O52" s="260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>
      <c r="A53" s="227"/>
      <c r="B53" s="227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>
      <c r="A54" s="269" t="s">
        <v>111</v>
      </c>
      <c r="B54" s="221"/>
      <c r="C54" s="223" t="s">
        <v>362</v>
      </c>
      <c r="D54" s="223" t="s">
        <v>164</v>
      </c>
      <c r="E54" s="270">
        <v>0.9</v>
      </c>
      <c r="F54" s="223"/>
      <c r="G54" s="271"/>
      <c r="H54" s="271"/>
      <c r="I54" s="271"/>
      <c r="J54" s="271"/>
      <c r="K54" s="271"/>
      <c r="L54" s="271"/>
      <c r="M54" s="271"/>
      <c r="N54" s="271"/>
      <c r="O54" s="272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>
      <c r="A55" s="225"/>
      <c r="B55" s="71"/>
      <c r="C55" s="146" t="s">
        <v>363</v>
      </c>
      <c r="D55" s="146" t="s">
        <v>156</v>
      </c>
      <c r="E55" s="146"/>
      <c r="F55" s="146"/>
      <c r="G55" s="151"/>
      <c r="H55" s="151"/>
      <c r="I55" s="151"/>
      <c r="J55" s="151"/>
      <c r="K55" s="151"/>
      <c r="L55" s="151"/>
      <c r="M55" s="151"/>
      <c r="N55" s="151"/>
      <c r="O55" s="273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>
      <c r="A56" s="225"/>
      <c r="B56" s="71"/>
      <c r="C56" s="146" t="s">
        <v>364</v>
      </c>
      <c r="D56" s="146" t="s">
        <v>176</v>
      </c>
      <c r="E56" s="146"/>
      <c r="F56" s="146"/>
      <c r="G56" s="151"/>
      <c r="H56" s="151"/>
      <c r="I56" s="151"/>
      <c r="J56" s="151"/>
      <c r="K56" s="151"/>
      <c r="L56" s="151"/>
      <c r="M56" s="151"/>
      <c r="N56" s="151"/>
      <c r="O56" s="273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>
      <c r="A57" s="225"/>
      <c r="B57" s="71"/>
      <c r="C57" s="146" t="s">
        <v>365</v>
      </c>
      <c r="D57" s="146" t="s">
        <v>176</v>
      </c>
      <c r="E57" s="146"/>
      <c r="F57" s="146"/>
      <c r="G57" s="151"/>
      <c r="H57" s="151"/>
      <c r="I57" s="151"/>
      <c r="J57" s="151"/>
      <c r="K57" s="151"/>
      <c r="L57" s="151"/>
      <c r="M57" s="151"/>
      <c r="N57" s="151"/>
      <c r="O57" s="273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>
      <c r="A58" s="226"/>
      <c r="B58" s="74"/>
      <c r="C58" s="172" t="s">
        <v>366</v>
      </c>
      <c r="D58" s="162" t="s">
        <v>176</v>
      </c>
      <c r="E58" s="243"/>
      <c r="F58" s="196"/>
      <c r="G58" s="163"/>
      <c r="H58" s="162"/>
      <c r="I58" s="163"/>
      <c r="J58" s="162"/>
      <c r="K58" s="163"/>
      <c r="L58" s="162"/>
      <c r="M58" s="164"/>
      <c r="N58" s="164"/>
      <c r="O58" s="27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>
      <c r="A59" s="227"/>
      <c r="B59" s="227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>
      <c r="A60" s="227"/>
      <c r="B60" s="227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>
      <c r="A61" s="227"/>
      <c r="B61" s="227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>
      <c r="A62" s="227"/>
      <c r="B62" s="227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>
      <c r="A63" s="227"/>
      <c r="B63" s="227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>
      <c r="A64" s="227"/>
      <c r="B64" s="227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>
      <c r="A65" s="227"/>
      <c r="B65" s="227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>
      <c r="A66" s="227"/>
      <c r="B66" s="227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>
      <c r="A67" s="227"/>
      <c r="B67" s="227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>
      <c r="A68" s="227"/>
      <c r="B68" s="227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>
      <c r="A69" s="227"/>
      <c r="B69" s="227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>
      <c r="A70" s="227"/>
      <c r="B70" s="227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>
      <c r="A71" s="227"/>
      <c r="B71" s="227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>
      <c r="A72" s="227"/>
      <c r="B72" s="227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>
      <c r="A73" s="227"/>
      <c r="B73" s="227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>
      <c r="A74" s="227"/>
      <c r="B74" s="227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>
      <c r="A75" s="227"/>
      <c r="B75" s="227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>
      <c r="A76" s="227"/>
      <c r="B76" s="227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>
      <c r="A77" s="227"/>
      <c r="B77" s="227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>
      <c r="A78" s="227"/>
      <c r="B78" s="227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>
      <c r="A79" s="227"/>
      <c r="B79" s="227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>
      <c r="A80" s="227"/>
      <c r="B80" s="227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>
      <c r="A81" s="227"/>
      <c r="B81" s="227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>
      <c r="A82" s="227"/>
      <c r="B82" s="227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>
      <c r="A83" s="227"/>
      <c r="B83" s="227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>
      <c r="A84" s="227"/>
      <c r="B84" s="227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>
      <c r="A85" s="227"/>
      <c r="B85" s="227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>
      <c r="A86" s="227"/>
      <c r="B86" s="227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>
      <c r="A87" s="227"/>
      <c r="B87" s="227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>
      <c r="A88" s="227"/>
      <c r="B88" s="227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>
      <c r="A89" s="227"/>
      <c r="B89" s="227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>
      <c r="A90" s="227"/>
      <c r="B90" s="227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>
      <c r="A91" s="227"/>
      <c r="B91" s="227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>
      <c r="A92" s="227"/>
      <c r="B92" s="227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>
      <c r="A93" s="227"/>
      <c r="B93" s="227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>
      <c r="A94" s="227"/>
      <c r="B94" s="227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>
      <c r="A95" s="227"/>
      <c r="B95" s="227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>
      <c r="A96" s="227"/>
      <c r="B96" s="227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>
      <c r="A97" s="227"/>
      <c r="B97" s="227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>
      <c r="A98" s="227"/>
      <c r="B98" s="227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>
      <c r="A99" s="227"/>
      <c r="B99" s="227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>
      <c r="A100" s="227"/>
      <c r="B100" s="227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>
      <c r="A101" s="227"/>
      <c r="B101" s="227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>
      <c r="A102" s="227"/>
      <c r="B102" s="227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>
      <c r="A103" s="227"/>
      <c r="B103" s="227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>
      <c r="A104" s="227"/>
      <c r="B104" s="227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>
      <c r="A105" s="227"/>
      <c r="B105" s="227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>
      <c r="A106" s="227"/>
      <c r="B106" s="227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>
      <c r="A107" s="227"/>
      <c r="B107" s="227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>
      <c r="A108" s="227"/>
      <c r="B108" s="227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>
      <c r="A109" s="227"/>
      <c r="B109" s="227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>
      <c r="A110" s="227"/>
      <c r="B110" s="227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>
      <c r="A111" s="227"/>
      <c r="B111" s="227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>
      <c r="A112" s="227"/>
      <c r="B112" s="227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>
      <c r="A113" s="227"/>
      <c r="B113" s="227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>
      <c r="A114" s="227"/>
      <c r="B114" s="227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>
      <c r="A115" s="227"/>
      <c r="B115" s="227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>
      <c r="A116" s="227"/>
      <c r="B116" s="227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>
      <c r="A117" s="227"/>
      <c r="B117" s="227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>
      <c r="A118" s="227"/>
      <c r="B118" s="227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>
      <c r="A119" s="227"/>
      <c r="B119" s="227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>
      <c r="A120" s="227"/>
      <c r="B120" s="227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>
      <c r="A121" s="227"/>
      <c r="B121" s="227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>
      <c r="A122" s="227"/>
      <c r="B122" s="227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>
      <c r="A123" s="227"/>
      <c r="B123" s="227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>
      <c r="A124" s="227"/>
      <c r="B124" s="227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>
      <c r="A125" s="227"/>
      <c r="B125" s="227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>
      <c r="A126" s="227"/>
      <c r="B126" s="227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>
      <c r="A127" s="227"/>
      <c r="B127" s="227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>
      <c r="A128" s="227"/>
      <c r="B128" s="227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>
      <c r="A129" s="227"/>
      <c r="B129" s="227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>
      <c r="A130" s="227"/>
      <c r="B130" s="227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>
      <c r="A131" s="227"/>
      <c r="B131" s="227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>
      <c r="A132" s="227"/>
      <c r="B132" s="227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>
      <c r="A133" s="227"/>
      <c r="B133" s="227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>
      <c r="A134" s="227"/>
      <c r="B134" s="227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>
      <c r="A135" s="227"/>
      <c r="B135" s="227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>
      <c r="A136" s="227"/>
      <c r="B136" s="227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>
      <c r="A137" s="227"/>
      <c r="B137" s="227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>
      <c r="A138" s="227"/>
      <c r="B138" s="227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>
      <c r="A139" s="227"/>
      <c r="B139" s="227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>
      <c r="A140" s="227"/>
      <c r="B140" s="227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>
      <c r="A141" s="227"/>
      <c r="B141" s="227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>
      <c r="A142" s="227"/>
      <c r="B142" s="227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>
      <c r="A143" s="227"/>
      <c r="B143" s="227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>
      <c r="A144" s="227"/>
      <c r="B144" s="227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>
      <c r="A145" s="227"/>
      <c r="B145" s="227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>
      <c r="A146" s="227"/>
      <c r="B146" s="227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>
      <c r="A147" s="227"/>
      <c r="B147" s="227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>
      <c r="A148" s="227"/>
      <c r="B148" s="227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>
      <c r="A149" s="227"/>
      <c r="B149" s="227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>
      <c r="A150" s="227"/>
      <c r="B150" s="227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>
      <c r="A151" s="227"/>
      <c r="B151" s="227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>
      <c r="A152" s="227"/>
      <c r="B152" s="227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>
      <c r="A153" s="227"/>
      <c r="B153" s="227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>
      <c r="A154" s="227"/>
      <c r="B154" s="227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>
      <c r="A155" s="227"/>
      <c r="B155" s="227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>
      <c r="A156" s="227"/>
      <c r="B156" s="227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>
      <c r="A157" s="227"/>
      <c r="B157" s="227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>
      <c r="A158" s="227"/>
      <c r="B158" s="227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>
      <c r="A159" s="227"/>
      <c r="B159" s="227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>
      <c r="A160" s="227"/>
      <c r="B160" s="227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>
      <c r="A161" s="227"/>
      <c r="B161" s="227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>
      <c r="A162" s="227"/>
      <c r="B162" s="227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>
      <c r="A163" s="227"/>
      <c r="B163" s="227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>
      <c r="A164" s="227"/>
      <c r="B164" s="227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>
      <c r="A165" s="227"/>
      <c r="B165" s="227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>
      <c r="A166" s="227"/>
      <c r="B166" s="227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>
      <c r="A167" s="227"/>
      <c r="B167" s="227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>
      <c r="A168" s="227"/>
      <c r="B168" s="227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>
      <c r="A169" s="227"/>
      <c r="B169" s="227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>
      <c r="A170" s="227"/>
      <c r="B170" s="227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>
      <c r="A171" s="227"/>
      <c r="B171" s="227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>
      <c r="A172" s="227"/>
      <c r="B172" s="227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>
      <c r="A173" s="227"/>
      <c r="B173" s="227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>
      <c r="A174" s="227"/>
      <c r="B174" s="227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>
      <c r="A175" s="227"/>
      <c r="B175" s="227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>
      <c r="A176" s="227"/>
      <c r="B176" s="227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>
      <c r="A177" s="227"/>
      <c r="B177" s="227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>
      <c r="A178" s="227"/>
      <c r="B178" s="227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>
      <c r="A179" s="227"/>
      <c r="B179" s="227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>
      <c r="A180" s="227"/>
      <c r="B180" s="227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>
      <c r="A181" s="227"/>
      <c r="B181" s="227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>
      <c r="A182" s="227"/>
      <c r="B182" s="227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>
      <c r="A183" s="227"/>
      <c r="B183" s="227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>
      <c r="A184" s="227"/>
      <c r="B184" s="227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>
      <c r="A185" s="227"/>
      <c r="B185" s="227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>
      <c r="A186" s="227"/>
      <c r="B186" s="227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>
      <c r="A187" s="227"/>
      <c r="B187" s="227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>
      <c r="A188" s="227"/>
      <c r="B188" s="227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>
      <c r="A189" s="227"/>
      <c r="B189" s="227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>
      <c r="A190" s="227"/>
      <c r="B190" s="227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>
      <c r="A191" s="227"/>
      <c r="B191" s="227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>
      <c r="A192" s="227"/>
      <c r="B192" s="227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>
      <c r="A193" s="227"/>
      <c r="B193" s="227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>
      <c r="A194" s="227"/>
      <c r="B194" s="227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>
      <c r="A195" s="227"/>
      <c r="B195" s="227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>
      <c r="A196" s="227"/>
      <c r="B196" s="227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>
      <c r="A197" s="227"/>
      <c r="B197" s="227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>
      <c r="A198" s="227"/>
      <c r="B198" s="227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>
      <c r="A199" s="227"/>
      <c r="B199" s="227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>
      <c r="A200" s="227"/>
      <c r="B200" s="227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>
      <c r="A201" s="227"/>
      <c r="B201" s="227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>
      <c r="A202" s="227"/>
      <c r="B202" s="227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>
      <c r="A203" s="227"/>
      <c r="B203" s="227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>
      <c r="A204" s="227"/>
      <c r="B204" s="227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>
      <c r="A205" s="227"/>
      <c r="B205" s="227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>
      <c r="A206" s="227"/>
      <c r="B206" s="227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>
      <c r="A207" s="227"/>
      <c r="B207" s="227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>
      <c r="A208" s="227"/>
      <c r="B208" s="227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>
      <c r="A209" s="227"/>
      <c r="B209" s="227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>
      <c r="A210" s="227"/>
      <c r="B210" s="227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>
      <c r="A211" s="227"/>
      <c r="B211" s="227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>
      <c r="A212" s="227"/>
      <c r="B212" s="227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>
      <c r="A213" s="227"/>
      <c r="B213" s="227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>
      <c r="A214" s="227"/>
      <c r="B214" s="227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>
      <c r="A215" s="227"/>
      <c r="B215" s="227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>
      <c r="A216" s="227"/>
      <c r="B216" s="227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>
      <c r="A217" s="227"/>
      <c r="B217" s="227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>
      <c r="A218" s="227"/>
      <c r="B218" s="227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>
      <c r="A219" s="227"/>
      <c r="B219" s="227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>
      <c r="A220" s="227"/>
      <c r="B220" s="227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>
      <c r="A221" s="227"/>
      <c r="B221" s="227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>
      <c r="A222" s="227"/>
      <c r="B222" s="227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>
      <c r="A223" s="227"/>
      <c r="B223" s="227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>
      <c r="A224" s="227"/>
      <c r="B224" s="227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>
      <c r="A225" s="227"/>
      <c r="B225" s="227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>
      <c r="A226" s="227"/>
      <c r="B226" s="227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>
      <c r="A227" s="227"/>
      <c r="B227" s="227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>
      <c r="A228" s="227"/>
      <c r="B228" s="227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>
      <c r="A229" s="227"/>
      <c r="B229" s="227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>
      <c r="A230" s="227"/>
      <c r="B230" s="227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>
      <c r="A231" s="227"/>
      <c r="B231" s="227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>
      <c r="A232" s="227"/>
      <c r="B232" s="227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>
      <c r="A233" s="227"/>
      <c r="B233" s="227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>
      <c r="A234" s="227"/>
      <c r="B234" s="227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>
      <c r="A235" s="227"/>
      <c r="B235" s="227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>
      <c r="A236" s="227"/>
      <c r="B236" s="227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>
      <c r="A237" s="227"/>
      <c r="B237" s="227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>
      <c r="A238" s="227"/>
      <c r="B238" s="227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>
      <c r="A239" s="227"/>
      <c r="B239" s="227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>
      <c r="A240" s="227"/>
      <c r="B240" s="227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>
      <c r="A241" s="227"/>
      <c r="B241" s="227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>
      <c r="A242" s="227"/>
      <c r="B242" s="227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>
      <c r="A243" s="227"/>
      <c r="B243" s="227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>
      <c r="A244" s="227"/>
      <c r="B244" s="227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>
      <c r="A245" s="227"/>
      <c r="B245" s="227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>
      <c r="A246" s="227"/>
      <c r="B246" s="227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>
      <c r="A247" s="227"/>
      <c r="B247" s="227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>
      <c r="A248" s="227"/>
      <c r="B248" s="227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>
      <c r="A249" s="227"/>
      <c r="B249" s="227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>
      <c r="A250" s="227"/>
      <c r="B250" s="227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>
      <c r="A251" s="227"/>
      <c r="B251" s="227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>
      <c r="A252" s="227"/>
      <c r="B252" s="227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>
      <c r="A253" s="227"/>
      <c r="B253" s="227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>
      <c r="A254" s="227"/>
      <c r="B254" s="227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>
      <c r="A255" s="227"/>
      <c r="B255" s="227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>
      <c r="A256" s="227"/>
      <c r="B256" s="227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>
      <c r="A257" s="227"/>
      <c r="B257" s="227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>
      <c r="A258" s="227"/>
      <c r="B258" s="227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>
      <c r="A259" s="227"/>
      <c r="B259" s="227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>
      <c r="A260" s="227"/>
      <c r="B260" s="227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>
      <c r="A261" s="227"/>
      <c r="B261" s="227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>
      <c r="A262" s="227"/>
      <c r="B262" s="227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>
      <c r="A263" s="227"/>
      <c r="B263" s="227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>
      <c r="A264" s="227"/>
      <c r="B264" s="227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>
      <c r="A265" s="227"/>
      <c r="B265" s="227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>
      <c r="A266" s="227"/>
      <c r="B266" s="227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>
      <c r="A267" s="227"/>
      <c r="B267" s="227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>
      <c r="A268" s="227"/>
      <c r="B268" s="227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>
      <c r="A269" s="227"/>
      <c r="B269" s="227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>
      <c r="A270" s="227"/>
      <c r="B270" s="227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>
      <c r="A271" s="227"/>
      <c r="B271" s="227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>
      <c r="A272" s="227"/>
      <c r="B272" s="227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>
      <c r="A273" s="227"/>
      <c r="B273" s="227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>
      <c r="A274" s="227"/>
      <c r="B274" s="227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>
      <c r="A275" s="227"/>
      <c r="B275" s="227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>
      <c r="A276" s="227"/>
      <c r="B276" s="227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>
      <c r="A277" s="227"/>
      <c r="B277" s="227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>
      <c r="A278" s="227"/>
      <c r="B278" s="227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>
      <c r="A279" s="227"/>
      <c r="B279" s="227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>
      <c r="A280" s="227"/>
      <c r="B280" s="227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>
      <c r="A281" s="227"/>
      <c r="B281" s="227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>
      <c r="A282" s="227"/>
      <c r="B282" s="227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>
      <c r="A283" s="227"/>
      <c r="B283" s="227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>
      <c r="A284" s="227"/>
      <c r="B284" s="227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>
      <c r="A285" s="227"/>
      <c r="B285" s="227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>
      <c r="A286" s="227"/>
      <c r="B286" s="227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>
      <c r="A287" s="227"/>
      <c r="B287" s="227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>
      <c r="A288" s="227"/>
      <c r="B288" s="227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>
      <c r="A289" s="227"/>
      <c r="B289" s="227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>
      <c r="A290" s="227"/>
      <c r="B290" s="227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>
      <c r="A291" s="227"/>
      <c r="B291" s="227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>
      <c r="A292" s="227"/>
      <c r="B292" s="227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>
      <c r="A293" s="227"/>
      <c r="B293" s="227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>
      <c r="A294" s="227"/>
      <c r="B294" s="227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>
      <c r="A295" s="227"/>
      <c r="B295" s="227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>
      <c r="A296" s="227"/>
      <c r="B296" s="227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>
      <c r="A297" s="227"/>
      <c r="B297" s="227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>
      <c r="A298" s="227"/>
      <c r="B298" s="227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>
      <c r="A299" s="227"/>
      <c r="B299" s="227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>
      <c r="A300" s="227"/>
      <c r="B300" s="227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>
      <c r="A301" s="227"/>
      <c r="B301" s="227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>
      <c r="A302" s="227"/>
      <c r="B302" s="227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>
      <c r="A303" s="227"/>
      <c r="B303" s="227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>
      <c r="A304" s="227"/>
      <c r="B304" s="227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>
      <c r="A305" s="227"/>
      <c r="B305" s="227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>
      <c r="A306" s="227"/>
      <c r="B306" s="227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>
      <c r="A307" s="227"/>
      <c r="B307" s="227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>
      <c r="A308" s="227"/>
      <c r="B308" s="227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>
      <c r="A309" s="227"/>
      <c r="B309" s="227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>
      <c r="A310" s="227"/>
      <c r="B310" s="227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>
      <c r="A311" s="227"/>
      <c r="B311" s="227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>
      <c r="A312" s="227"/>
      <c r="B312" s="227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>
      <c r="A313" s="227"/>
      <c r="B313" s="227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>
      <c r="A314" s="227"/>
      <c r="B314" s="227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>
      <c r="A315" s="227"/>
      <c r="B315" s="227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>
      <c r="A316" s="227"/>
      <c r="B316" s="227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>
      <c r="A317" s="227"/>
      <c r="B317" s="227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>
      <c r="A318" s="227"/>
      <c r="B318" s="227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>
      <c r="A319" s="227"/>
      <c r="B319" s="227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>
      <c r="A320" s="227"/>
      <c r="B320" s="227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>
      <c r="A321" s="227"/>
      <c r="B321" s="227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>
      <c r="A322" s="227"/>
      <c r="B322" s="227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>
      <c r="A323" s="227"/>
      <c r="B323" s="227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>
      <c r="A324" s="227"/>
      <c r="B324" s="227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>
      <c r="A325" s="227"/>
      <c r="B325" s="227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>
      <c r="A326" s="227"/>
      <c r="B326" s="227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>
      <c r="A327" s="227"/>
      <c r="B327" s="227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>
      <c r="A328" s="227"/>
      <c r="B328" s="227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>
      <c r="A329" s="227"/>
      <c r="B329" s="227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>
      <c r="A330" s="227"/>
      <c r="B330" s="227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>
      <c r="A331" s="227"/>
      <c r="B331" s="227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>
      <c r="A332" s="227"/>
      <c r="B332" s="227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>
      <c r="A333" s="227"/>
      <c r="B333" s="227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>
      <c r="A334" s="227"/>
      <c r="B334" s="227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>
      <c r="A335" s="227"/>
      <c r="B335" s="227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>
      <c r="A336" s="227"/>
      <c r="B336" s="227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>
      <c r="A337" s="227"/>
      <c r="B337" s="227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>
      <c r="A338" s="227"/>
      <c r="B338" s="227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>
      <c r="A339" s="227"/>
      <c r="B339" s="227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>
      <c r="A340" s="227"/>
      <c r="B340" s="227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>
      <c r="A341" s="227"/>
      <c r="B341" s="227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>
      <c r="A342" s="227"/>
      <c r="B342" s="227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>
      <c r="A343" s="227"/>
      <c r="B343" s="227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>
      <c r="A344" s="227"/>
      <c r="B344" s="227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>
      <c r="A345" s="227"/>
      <c r="B345" s="227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>
      <c r="A346" s="227"/>
      <c r="B346" s="227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>
      <c r="A347" s="227"/>
      <c r="B347" s="227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>
      <c r="A348" s="227"/>
      <c r="B348" s="227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>
      <c r="A349" s="227"/>
      <c r="B349" s="227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>
      <c r="A350" s="227"/>
      <c r="B350" s="227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>
      <c r="A351" s="227"/>
      <c r="B351" s="227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>
      <c r="A352" s="227"/>
      <c r="B352" s="227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>
      <c r="A353" s="227"/>
      <c r="B353" s="227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>
      <c r="A354" s="227"/>
      <c r="B354" s="227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>
      <c r="A355" s="227"/>
      <c r="B355" s="227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>
      <c r="A356" s="227"/>
      <c r="B356" s="227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>
      <c r="A357" s="227"/>
      <c r="B357" s="227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>
      <c r="A358" s="227"/>
      <c r="B358" s="227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>
      <c r="A359" s="227"/>
      <c r="B359" s="227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>
      <c r="A360" s="227"/>
      <c r="B360" s="227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>
      <c r="A361" s="227"/>
      <c r="B361" s="227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>
      <c r="A362" s="227"/>
      <c r="B362" s="227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>
      <c r="A363" s="227"/>
      <c r="B363" s="227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>
      <c r="A364" s="227"/>
      <c r="B364" s="227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>
      <c r="A365" s="227"/>
      <c r="B365" s="227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>
      <c r="A366" s="227"/>
      <c r="B366" s="227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>
      <c r="A367" s="227"/>
      <c r="B367" s="227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>
      <c r="A368" s="227"/>
      <c r="B368" s="227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>
      <c r="A369" s="227"/>
      <c r="B369" s="227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>
      <c r="A370" s="227"/>
      <c r="B370" s="227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>
      <c r="A371" s="227"/>
      <c r="B371" s="227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>
      <c r="A372" s="227"/>
      <c r="B372" s="227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>
      <c r="A373" s="227"/>
      <c r="B373" s="227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>
      <c r="A374" s="227"/>
      <c r="B374" s="227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>
      <c r="A375" s="227"/>
      <c r="B375" s="227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>
      <c r="A376" s="227"/>
      <c r="B376" s="227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>
      <c r="A377" s="227"/>
      <c r="B377" s="227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>
      <c r="A378" s="227"/>
      <c r="B378" s="227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>
      <c r="A379" s="227"/>
      <c r="B379" s="227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>
      <c r="A380" s="227"/>
      <c r="B380" s="227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>
      <c r="A381" s="227"/>
      <c r="B381" s="227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>
      <c r="A382" s="227"/>
      <c r="B382" s="227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>
      <c r="A383" s="227"/>
      <c r="B383" s="227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>
      <c r="A384" s="227"/>
      <c r="B384" s="227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>
      <c r="A385" s="227"/>
      <c r="B385" s="227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>
      <c r="A386" s="227"/>
      <c r="B386" s="227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>
      <c r="A387" s="227"/>
      <c r="B387" s="227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>
      <c r="A388" s="227"/>
      <c r="B388" s="227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>
      <c r="A389" s="227"/>
      <c r="B389" s="227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>
      <c r="A390" s="227"/>
      <c r="B390" s="227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>
      <c r="A391" s="227"/>
      <c r="B391" s="227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>
      <c r="A392" s="227"/>
      <c r="B392" s="227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>
      <c r="A393" s="227"/>
      <c r="B393" s="227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>
      <c r="A394" s="227"/>
      <c r="B394" s="227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>
      <c r="A395" s="227"/>
      <c r="B395" s="227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>
      <c r="A396" s="227"/>
      <c r="B396" s="227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>
      <c r="A397" s="227"/>
      <c r="B397" s="227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>
      <c r="A398" s="227"/>
      <c r="B398" s="227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>
      <c r="A399" s="227"/>
      <c r="B399" s="227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>
      <c r="A400" s="227"/>
      <c r="B400" s="227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>
      <c r="A401" s="227"/>
      <c r="B401" s="227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>
      <c r="A402" s="227"/>
      <c r="B402" s="227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>
      <c r="A403" s="227"/>
      <c r="B403" s="227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>
      <c r="A404" s="227"/>
      <c r="B404" s="227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>
      <c r="A405" s="227"/>
      <c r="B405" s="227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>
      <c r="A406" s="227"/>
      <c r="B406" s="227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>
      <c r="A407" s="227"/>
      <c r="B407" s="227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>
      <c r="A408" s="227"/>
      <c r="B408" s="227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>
      <c r="A409" s="227"/>
      <c r="B409" s="227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>
      <c r="A410" s="227"/>
      <c r="B410" s="227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>
      <c r="A411" s="227"/>
      <c r="B411" s="227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>
      <c r="A412" s="227"/>
      <c r="B412" s="227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>
      <c r="A413" s="227"/>
      <c r="B413" s="227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>
      <c r="A414" s="227"/>
      <c r="B414" s="227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>
      <c r="A415" s="227"/>
      <c r="B415" s="227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>
      <c r="A416" s="227"/>
      <c r="B416" s="227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>
      <c r="A417" s="227"/>
      <c r="B417" s="227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>
      <c r="A418" s="227"/>
      <c r="B418" s="227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>
      <c r="A419" s="227"/>
      <c r="B419" s="227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>
      <c r="A420" s="227"/>
      <c r="B420" s="227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>
      <c r="A421" s="227"/>
      <c r="B421" s="227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>
      <c r="A422" s="227"/>
      <c r="B422" s="227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>
      <c r="A423" s="227"/>
      <c r="B423" s="227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>
      <c r="A424" s="227"/>
      <c r="B424" s="227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>
      <c r="A425" s="227"/>
      <c r="B425" s="227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>
      <c r="A426" s="227"/>
      <c r="B426" s="227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>
      <c r="A427" s="227"/>
      <c r="B427" s="227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>
      <c r="A428" s="227"/>
      <c r="B428" s="227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>
      <c r="A429" s="227"/>
      <c r="B429" s="227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>
      <c r="A430" s="227"/>
      <c r="B430" s="227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>
      <c r="A431" s="227"/>
      <c r="B431" s="227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>
      <c r="A432" s="227"/>
      <c r="B432" s="227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>
      <c r="A433" s="227"/>
      <c r="B433" s="227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>
      <c r="A434" s="227"/>
      <c r="B434" s="227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>
      <c r="A435" s="227"/>
      <c r="B435" s="227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>
      <c r="A436" s="227"/>
      <c r="B436" s="227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>
      <c r="A437" s="227"/>
      <c r="B437" s="227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>
      <c r="A438" s="227"/>
      <c r="B438" s="227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>
      <c r="A439" s="227"/>
      <c r="B439" s="227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>
      <c r="A440" s="227"/>
      <c r="B440" s="227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>
      <c r="A441" s="227"/>
      <c r="B441" s="227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>
      <c r="A442" s="227"/>
      <c r="B442" s="227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>
      <c r="A443" s="227"/>
      <c r="B443" s="227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>
      <c r="A444" s="227"/>
      <c r="B444" s="227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>
      <c r="A445" s="227"/>
      <c r="B445" s="227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>
      <c r="A446" s="227"/>
      <c r="B446" s="227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>
      <c r="A447" s="227"/>
      <c r="B447" s="227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>
      <c r="A448" s="227"/>
      <c r="B448" s="227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>
      <c r="A449" s="227"/>
      <c r="B449" s="227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>
      <c r="A450" s="227"/>
      <c r="B450" s="227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>
      <c r="A451" s="227"/>
      <c r="B451" s="227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>
      <c r="A452" s="227"/>
      <c r="B452" s="227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>
      <c r="A453" s="227"/>
      <c r="B453" s="227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>
      <c r="A454" s="227"/>
      <c r="B454" s="227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>
      <c r="A455" s="227"/>
      <c r="B455" s="227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>
      <c r="A456" s="227"/>
      <c r="B456" s="227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>
      <c r="A457" s="227"/>
      <c r="B457" s="227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>
      <c r="A458" s="227"/>
      <c r="B458" s="227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>
      <c r="A459" s="227"/>
      <c r="B459" s="227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>
      <c r="A460" s="227"/>
      <c r="B460" s="227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>
      <c r="A461" s="227"/>
      <c r="B461" s="227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>
      <c r="A462" s="227"/>
      <c r="B462" s="227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>
      <c r="A463" s="227"/>
      <c r="B463" s="227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>
      <c r="A464" s="227"/>
      <c r="B464" s="227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>
      <c r="A465" s="227"/>
      <c r="B465" s="227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>
      <c r="A466" s="227"/>
      <c r="B466" s="227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>
      <c r="A467" s="227"/>
      <c r="B467" s="227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>
      <c r="A468" s="227"/>
      <c r="B468" s="227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>
      <c r="A469" s="227"/>
      <c r="B469" s="227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>
      <c r="A470" s="227"/>
      <c r="B470" s="227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>
      <c r="A471" s="227"/>
      <c r="B471" s="227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>
      <c r="A472" s="227"/>
      <c r="B472" s="227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>
      <c r="A473" s="227"/>
      <c r="B473" s="227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>
      <c r="A474" s="227"/>
      <c r="B474" s="227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>
      <c r="A475" s="227"/>
      <c r="B475" s="227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>
      <c r="A476" s="227"/>
      <c r="B476" s="227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>
      <c r="A477" s="227"/>
      <c r="B477" s="227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>
      <c r="A478" s="227"/>
      <c r="B478" s="227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>
      <c r="A479" s="227"/>
      <c r="B479" s="227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>
      <c r="A480" s="227"/>
      <c r="B480" s="227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>
      <c r="A481" s="227"/>
      <c r="B481" s="227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>
      <c r="A482" s="227"/>
      <c r="B482" s="227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>
      <c r="A483" s="227"/>
      <c r="B483" s="227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>
      <c r="A484" s="227"/>
      <c r="B484" s="227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>
      <c r="A485" s="227"/>
      <c r="B485" s="227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>
      <c r="A486" s="227"/>
      <c r="B486" s="227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>
      <c r="A487" s="227"/>
      <c r="B487" s="227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>
      <c r="A488" s="227"/>
      <c r="B488" s="227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>
      <c r="A489" s="227"/>
      <c r="B489" s="227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>
      <c r="A490" s="227"/>
      <c r="B490" s="227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>
      <c r="A491" s="227"/>
      <c r="B491" s="227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>
      <c r="A492" s="227"/>
      <c r="B492" s="227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>
      <c r="A493" s="227"/>
      <c r="B493" s="227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>
      <c r="A494" s="227"/>
      <c r="B494" s="227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>
      <c r="A495" s="227"/>
      <c r="B495" s="227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>
      <c r="A496" s="227"/>
      <c r="B496" s="227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>
      <c r="A497" s="227"/>
      <c r="B497" s="227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>
      <c r="A498" s="227"/>
      <c r="B498" s="227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>
      <c r="A499" s="227"/>
      <c r="B499" s="227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>
      <c r="A500" s="227"/>
      <c r="B500" s="227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>
      <c r="A501" s="227"/>
      <c r="B501" s="227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>
      <c r="A502" s="227"/>
      <c r="B502" s="227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>
      <c r="A503" s="227"/>
      <c r="B503" s="227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>
      <c r="A504" s="227"/>
      <c r="B504" s="227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>
      <c r="A505" s="227"/>
      <c r="B505" s="227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>
      <c r="A506" s="227"/>
      <c r="B506" s="227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>
      <c r="A507" s="227"/>
      <c r="B507" s="227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>
      <c r="A508" s="227"/>
      <c r="B508" s="227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>
      <c r="A509" s="227"/>
      <c r="B509" s="227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>
      <c r="A510" s="227"/>
      <c r="B510" s="227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>
      <c r="A511" s="227"/>
      <c r="B511" s="227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>
      <c r="A512" s="227"/>
      <c r="B512" s="227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>
      <c r="A513" s="227"/>
      <c r="B513" s="227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>
      <c r="A514" s="227"/>
      <c r="B514" s="227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>
      <c r="A515" s="227"/>
      <c r="B515" s="227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>
      <c r="A516" s="227"/>
      <c r="B516" s="227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>
      <c r="A517" s="227"/>
      <c r="B517" s="227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>
      <c r="A518" s="227"/>
      <c r="B518" s="227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>
      <c r="A519" s="227"/>
      <c r="B519" s="227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>
      <c r="A520" s="227"/>
      <c r="B520" s="227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>
      <c r="A521" s="227"/>
      <c r="B521" s="227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>
      <c r="A522" s="227"/>
      <c r="B522" s="227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>
      <c r="A523" s="227"/>
      <c r="B523" s="227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>
      <c r="A524" s="227"/>
      <c r="B524" s="227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>
      <c r="A525" s="227"/>
      <c r="B525" s="227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>
      <c r="A526" s="227"/>
      <c r="B526" s="227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>
      <c r="A527" s="227"/>
      <c r="B527" s="227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>
      <c r="A528" s="227"/>
      <c r="B528" s="227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>
      <c r="A529" s="227"/>
      <c r="B529" s="227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>
      <c r="A530" s="227"/>
      <c r="B530" s="227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>
      <c r="A531" s="227"/>
      <c r="B531" s="227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>
      <c r="A532" s="227"/>
      <c r="B532" s="227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>
      <c r="A533" s="227"/>
      <c r="B533" s="227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>
      <c r="A534" s="227"/>
      <c r="B534" s="227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>
      <c r="A535" s="227"/>
      <c r="B535" s="227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>
      <c r="A536" s="227"/>
      <c r="B536" s="227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>
      <c r="A537" s="227"/>
      <c r="B537" s="227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>
      <c r="A538" s="227"/>
      <c r="B538" s="227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>
      <c r="A539" s="227"/>
      <c r="B539" s="227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>
      <c r="A540" s="227"/>
      <c r="B540" s="227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>
      <c r="A541" s="227"/>
      <c r="B541" s="227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>
      <c r="A542" s="227"/>
      <c r="B542" s="227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>
      <c r="A543" s="227"/>
      <c r="B543" s="227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>
      <c r="A544" s="227"/>
      <c r="B544" s="227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>
      <c r="A545" s="227"/>
      <c r="B545" s="227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>
      <c r="A546" s="227"/>
      <c r="B546" s="227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>
      <c r="A547" s="227"/>
      <c r="B547" s="227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>
      <c r="A548" s="227"/>
      <c r="B548" s="227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>
      <c r="A549" s="227"/>
      <c r="B549" s="227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>
      <c r="A550" s="227"/>
      <c r="B550" s="227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>
      <c r="A551" s="227"/>
      <c r="B551" s="227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>
      <c r="A552" s="227"/>
      <c r="B552" s="227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>
      <c r="A553" s="227"/>
      <c r="B553" s="227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>
      <c r="A554" s="227"/>
      <c r="B554" s="227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>
      <c r="A555" s="227"/>
      <c r="B555" s="227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>
      <c r="A556" s="227"/>
      <c r="B556" s="227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>
      <c r="A557" s="227"/>
      <c r="B557" s="227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>
      <c r="A558" s="227"/>
      <c r="B558" s="227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>
      <c r="A559" s="227"/>
      <c r="B559" s="227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>
      <c r="A560" s="227"/>
      <c r="B560" s="227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>
      <c r="A561" s="227"/>
      <c r="B561" s="227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>
      <c r="A562" s="227"/>
      <c r="B562" s="227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>
      <c r="A563" s="227"/>
      <c r="B563" s="227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>
      <c r="A564" s="227"/>
      <c r="B564" s="227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>
      <c r="A565" s="227"/>
      <c r="B565" s="227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>
      <c r="A566" s="227"/>
      <c r="B566" s="227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>
      <c r="A567" s="227"/>
      <c r="B567" s="227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>
      <c r="A568" s="227"/>
      <c r="B568" s="227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>
      <c r="A569" s="227"/>
      <c r="B569" s="227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>
      <c r="A570" s="227"/>
      <c r="B570" s="227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>
      <c r="A571" s="227"/>
      <c r="B571" s="227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>
      <c r="A572" s="227"/>
      <c r="B572" s="227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>
      <c r="A573" s="227"/>
      <c r="B573" s="227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>
      <c r="A574" s="227"/>
      <c r="B574" s="227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>
      <c r="A575" s="227"/>
      <c r="B575" s="227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>
      <c r="A576" s="227"/>
      <c r="B576" s="227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>
      <c r="A577" s="227"/>
      <c r="B577" s="227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>
      <c r="A578" s="227"/>
      <c r="B578" s="227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>
      <c r="A579" s="227"/>
      <c r="B579" s="227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>
      <c r="A580" s="227"/>
      <c r="B580" s="227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>
      <c r="A581" s="227"/>
      <c r="B581" s="227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>
      <c r="A582" s="227"/>
      <c r="B582" s="227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>
      <c r="A583" s="227"/>
      <c r="B583" s="227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>
      <c r="A584" s="227"/>
      <c r="B584" s="227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>
      <c r="A585" s="227"/>
      <c r="B585" s="227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>
      <c r="A586" s="227"/>
      <c r="B586" s="227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>
      <c r="A587" s="227"/>
      <c r="B587" s="227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>
      <c r="A588" s="227"/>
      <c r="B588" s="227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>
      <c r="A589" s="227"/>
      <c r="B589" s="227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>
      <c r="A590" s="227"/>
      <c r="B590" s="227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>
      <c r="A591" s="227"/>
      <c r="B591" s="227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>
      <c r="A592" s="227"/>
      <c r="B592" s="227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>
      <c r="A593" s="227"/>
      <c r="B593" s="227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>
      <c r="A594" s="227"/>
      <c r="B594" s="227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>
      <c r="A595" s="227"/>
      <c r="B595" s="227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>
      <c r="A596" s="227"/>
      <c r="B596" s="227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>
      <c r="A597" s="227"/>
      <c r="B597" s="227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>
      <c r="A598" s="227"/>
      <c r="B598" s="227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>
      <c r="A599" s="227"/>
      <c r="B599" s="227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>
      <c r="A600" s="227"/>
      <c r="B600" s="227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>
      <c r="A601" s="227"/>
      <c r="B601" s="227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>
      <c r="A602" s="227"/>
      <c r="B602" s="227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>
      <c r="A603" s="227"/>
      <c r="B603" s="227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>
      <c r="A604" s="227"/>
      <c r="B604" s="227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>
      <c r="A605" s="227"/>
      <c r="B605" s="227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>
      <c r="A606" s="227"/>
      <c r="B606" s="227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>
      <c r="A607" s="227"/>
      <c r="B607" s="227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>
      <c r="A608" s="227"/>
      <c r="B608" s="227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>
      <c r="A609" s="227"/>
      <c r="B609" s="227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>
      <c r="A610" s="227"/>
      <c r="B610" s="227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>
      <c r="A611" s="227"/>
      <c r="B611" s="227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>
      <c r="A612" s="227"/>
      <c r="B612" s="227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>
      <c r="A613" s="227"/>
      <c r="B613" s="227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>
      <c r="A614" s="227"/>
      <c r="B614" s="227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>
      <c r="A615" s="227"/>
      <c r="B615" s="227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>
      <c r="A616" s="227"/>
      <c r="B616" s="227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>
      <c r="A617" s="227"/>
      <c r="B617" s="227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>
      <c r="A618" s="227"/>
      <c r="B618" s="227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>
      <c r="A619" s="227"/>
      <c r="B619" s="227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>
      <c r="A620" s="227"/>
      <c r="B620" s="227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>
      <c r="A621" s="227"/>
      <c r="B621" s="227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>
      <c r="A622" s="227"/>
      <c r="B622" s="227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>
      <c r="A623" s="227"/>
      <c r="B623" s="227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>
      <c r="A624" s="227"/>
      <c r="B624" s="227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>
      <c r="A625" s="227"/>
      <c r="B625" s="227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>
      <c r="A626" s="227"/>
      <c r="B626" s="227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>
      <c r="A627" s="227"/>
      <c r="B627" s="227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>
      <c r="A628" s="227"/>
      <c r="B628" s="227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>
      <c r="A629" s="227"/>
      <c r="B629" s="227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>
      <c r="A630" s="227"/>
      <c r="B630" s="227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>
      <c r="A631" s="227"/>
      <c r="B631" s="227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>
      <c r="A632" s="227"/>
      <c r="B632" s="227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>
      <c r="A633" s="227"/>
      <c r="B633" s="227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>
      <c r="A634" s="227"/>
      <c r="B634" s="227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>
      <c r="A635" s="227"/>
      <c r="B635" s="227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>
      <c r="A636" s="227"/>
      <c r="B636" s="227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>
      <c r="A637" s="227"/>
      <c r="B637" s="227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>
      <c r="A638" s="227"/>
      <c r="B638" s="227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>
      <c r="A639" s="227"/>
      <c r="B639" s="227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>
      <c r="A640" s="227"/>
      <c r="B640" s="227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>
      <c r="A641" s="227"/>
      <c r="B641" s="227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>
      <c r="A642" s="227"/>
      <c r="B642" s="227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>
      <c r="A643" s="227"/>
      <c r="B643" s="227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>
      <c r="A644" s="227"/>
      <c r="B644" s="227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>
      <c r="A645" s="227"/>
      <c r="B645" s="227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>
      <c r="A646" s="227"/>
      <c r="B646" s="227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>
      <c r="A647" s="227"/>
      <c r="B647" s="227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>
      <c r="A648" s="227"/>
      <c r="B648" s="227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>
      <c r="A649" s="227"/>
      <c r="B649" s="227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>
      <c r="A650" s="227"/>
      <c r="B650" s="227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>
      <c r="A651" s="227"/>
      <c r="B651" s="227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>
      <c r="A652" s="227"/>
      <c r="B652" s="227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>
      <c r="A653" s="227"/>
      <c r="B653" s="227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>
      <c r="A654" s="227"/>
      <c r="B654" s="227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>
      <c r="A655" s="227"/>
      <c r="B655" s="227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>
      <c r="A656" s="227"/>
      <c r="B656" s="227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>
      <c r="A657" s="227"/>
      <c r="B657" s="227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>
      <c r="A658" s="227"/>
      <c r="B658" s="227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>
      <c r="A659" s="227"/>
      <c r="B659" s="227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>
      <c r="A660" s="227"/>
      <c r="B660" s="227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>
      <c r="A661" s="227"/>
      <c r="B661" s="227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>
      <c r="A662" s="227"/>
      <c r="B662" s="227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>
      <c r="A663" s="227"/>
      <c r="B663" s="227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>
      <c r="A664" s="227"/>
      <c r="B664" s="227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>
      <c r="A665" s="227"/>
      <c r="B665" s="227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>
      <c r="A666" s="227"/>
      <c r="B666" s="227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>
      <c r="A667" s="227"/>
      <c r="B667" s="227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>
      <c r="A668" s="227"/>
      <c r="B668" s="227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>
      <c r="A669" s="227"/>
      <c r="B669" s="227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>
      <c r="A670" s="227"/>
      <c r="B670" s="227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>
      <c r="A671" s="227"/>
      <c r="B671" s="227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>
      <c r="A672" s="227"/>
      <c r="B672" s="227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>
      <c r="A673" s="227"/>
      <c r="B673" s="227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>
      <c r="A674" s="227"/>
      <c r="B674" s="227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>
      <c r="A675" s="227"/>
      <c r="B675" s="227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>
      <c r="A676" s="227"/>
      <c r="B676" s="227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>
      <c r="A677" s="227"/>
      <c r="B677" s="227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>
      <c r="A678" s="227"/>
      <c r="B678" s="227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>
      <c r="A679" s="227"/>
      <c r="B679" s="227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>
      <c r="A680" s="227"/>
      <c r="B680" s="227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>
      <c r="A681" s="227"/>
      <c r="B681" s="227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>
      <c r="A682" s="227"/>
      <c r="B682" s="227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>
      <c r="A683" s="227"/>
      <c r="B683" s="227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>
      <c r="A684" s="227"/>
      <c r="B684" s="227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>
      <c r="A685" s="227"/>
      <c r="B685" s="227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>
      <c r="A686" s="227"/>
      <c r="B686" s="227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>
      <c r="A687" s="227"/>
      <c r="B687" s="227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>
      <c r="A688" s="227"/>
      <c r="B688" s="227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>
      <c r="A689" s="227"/>
      <c r="B689" s="227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>
      <c r="A690" s="227"/>
      <c r="B690" s="227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>
      <c r="A691" s="227"/>
      <c r="B691" s="227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>
      <c r="A692" s="227"/>
      <c r="B692" s="227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>
      <c r="A693" s="227"/>
      <c r="B693" s="227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>
      <c r="A694" s="227"/>
      <c r="B694" s="227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>
      <c r="A695" s="227"/>
      <c r="B695" s="227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>
      <c r="A696" s="227"/>
      <c r="B696" s="227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>
      <c r="A697" s="227"/>
      <c r="B697" s="227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>
      <c r="A698" s="227"/>
      <c r="B698" s="227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>
      <c r="A699" s="227"/>
      <c r="B699" s="227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>
      <c r="A700" s="227"/>
      <c r="B700" s="227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>
      <c r="A701" s="227"/>
      <c r="B701" s="227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>
      <c r="A702" s="227"/>
      <c r="B702" s="227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>
      <c r="A703" s="227"/>
      <c r="B703" s="227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>
      <c r="A704" s="227"/>
      <c r="B704" s="227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>
      <c r="A705" s="227"/>
      <c r="B705" s="227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>
      <c r="A706" s="227"/>
      <c r="B706" s="227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>
      <c r="A707" s="227"/>
      <c r="B707" s="227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>
      <c r="A708" s="227"/>
      <c r="B708" s="227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>
      <c r="A709" s="227"/>
      <c r="B709" s="227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>
      <c r="A710" s="227"/>
      <c r="B710" s="227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>
      <c r="A711" s="227"/>
      <c r="B711" s="227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>
      <c r="A712" s="227"/>
      <c r="B712" s="227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>
      <c r="A713" s="227"/>
      <c r="B713" s="227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>
      <c r="A714" s="227"/>
      <c r="B714" s="227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>
      <c r="A715" s="227"/>
      <c r="B715" s="227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>
      <c r="A716" s="227"/>
      <c r="B716" s="227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>
      <c r="A717" s="227"/>
      <c r="B717" s="227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>
      <c r="A718" s="227"/>
      <c r="B718" s="227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>
      <c r="A719" s="227"/>
      <c r="B719" s="227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>
      <c r="A720" s="227"/>
      <c r="B720" s="227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>
      <c r="A721" s="227"/>
      <c r="B721" s="227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>
      <c r="A722" s="227"/>
      <c r="B722" s="227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>
      <c r="A723" s="227"/>
      <c r="B723" s="227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>
      <c r="A724" s="227"/>
      <c r="B724" s="227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>
      <c r="A725" s="227"/>
      <c r="B725" s="227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>
      <c r="A726" s="227"/>
      <c r="B726" s="227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>
      <c r="A727" s="227"/>
      <c r="B727" s="227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>
      <c r="A728" s="227"/>
      <c r="B728" s="227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>
      <c r="A729" s="227"/>
      <c r="B729" s="227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>
      <c r="A730" s="227"/>
      <c r="B730" s="227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>
      <c r="A731" s="227"/>
      <c r="B731" s="227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>
      <c r="A732" s="227"/>
      <c r="B732" s="227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>
      <c r="A733" s="227"/>
      <c r="B733" s="227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>
      <c r="A734" s="227"/>
      <c r="B734" s="227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>
      <c r="A735" s="227"/>
      <c r="B735" s="227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>
      <c r="A736" s="227"/>
      <c r="B736" s="227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>
      <c r="A737" s="227"/>
      <c r="B737" s="227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>
      <c r="A738" s="227"/>
      <c r="B738" s="227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>
      <c r="A739" s="227"/>
      <c r="B739" s="227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>
      <c r="A740" s="227"/>
      <c r="B740" s="227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>
      <c r="A741" s="227"/>
      <c r="B741" s="227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>
      <c r="A742" s="227"/>
      <c r="B742" s="227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>
      <c r="A743" s="227"/>
      <c r="B743" s="227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>
      <c r="A744" s="227"/>
      <c r="B744" s="227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>
      <c r="A745" s="227"/>
      <c r="B745" s="227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>
      <c r="A746" s="227"/>
      <c r="B746" s="227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>
      <c r="A747" s="227"/>
      <c r="B747" s="227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>
      <c r="A748" s="227"/>
      <c r="B748" s="227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>
      <c r="A749" s="227"/>
      <c r="B749" s="227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>
      <c r="A750" s="227"/>
      <c r="B750" s="227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>
      <c r="A751" s="227"/>
      <c r="B751" s="227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>
      <c r="A752" s="227"/>
      <c r="B752" s="227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>
      <c r="A753" s="227"/>
      <c r="B753" s="227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>
      <c r="A754" s="227"/>
      <c r="B754" s="227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>
      <c r="A755" s="227"/>
      <c r="B755" s="227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>
      <c r="A756" s="227"/>
      <c r="B756" s="227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>
      <c r="A757" s="227"/>
      <c r="B757" s="227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>
      <c r="A758" s="227"/>
      <c r="B758" s="227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>
      <c r="A759" s="227"/>
      <c r="B759" s="227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>
      <c r="A760" s="227"/>
      <c r="B760" s="227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>
      <c r="A761" s="227"/>
      <c r="B761" s="227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>
      <c r="A762" s="227"/>
      <c r="B762" s="227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>
      <c r="A763" s="227"/>
      <c r="B763" s="227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>
      <c r="A764" s="227"/>
      <c r="B764" s="227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>
      <c r="A765" s="227"/>
      <c r="B765" s="227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>
      <c r="A766" s="227"/>
      <c r="B766" s="227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>
      <c r="A767" s="227"/>
      <c r="B767" s="227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>
      <c r="A768" s="227"/>
      <c r="B768" s="227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>
      <c r="A769" s="227"/>
      <c r="B769" s="227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>
      <c r="A770" s="227"/>
      <c r="B770" s="227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>
      <c r="A771" s="227"/>
      <c r="B771" s="227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>
      <c r="A772" s="227"/>
      <c r="B772" s="227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>
      <c r="A773" s="227"/>
      <c r="B773" s="227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>
      <c r="A774" s="227"/>
      <c r="B774" s="227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>
      <c r="A775" s="227"/>
      <c r="B775" s="227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>
      <c r="A776" s="227"/>
      <c r="B776" s="227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>
      <c r="A777" s="227"/>
      <c r="B777" s="227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>
      <c r="A778" s="227"/>
      <c r="B778" s="227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>
      <c r="A779" s="227"/>
      <c r="B779" s="227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>
      <c r="A780" s="227"/>
      <c r="B780" s="227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>
      <c r="A781" s="227"/>
      <c r="B781" s="227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>
      <c r="A782" s="227"/>
      <c r="B782" s="227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>
      <c r="A783" s="227"/>
      <c r="B783" s="227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>
      <c r="A784" s="227"/>
      <c r="B784" s="227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>
      <c r="A785" s="227"/>
      <c r="B785" s="227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>
      <c r="A786" s="227"/>
      <c r="B786" s="227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>
      <c r="A787" s="227"/>
      <c r="B787" s="227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>
      <c r="A788" s="227"/>
      <c r="B788" s="227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>
      <c r="A789" s="227"/>
      <c r="B789" s="227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>
      <c r="A790" s="227"/>
      <c r="B790" s="227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>
      <c r="A791" s="227"/>
      <c r="B791" s="227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>
      <c r="A792" s="227"/>
      <c r="B792" s="227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>
      <c r="A793" s="227"/>
      <c r="B793" s="227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>
      <c r="A794" s="227"/>
      <c r="B794" s="227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>
      <c r="A795" s="227"/>
      <c r="B795" s="227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>
      <c r="A796" s="227"/>
      <c r="B796" s="227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>
      <c r="A797" s="227"/>
      <c r="B797" s="227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>
      <c r="A798" s="227"/>
      <c r="B798" s="227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>
      <c r="A799" s="227"/>
      <c r="B799" s="227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>
      <c r="A800" s="227"/>
      <c r="B800" s="227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>
      <c r="A801" s="227"/>
      <c r="B801" s="227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>
      <c r="A802" s="227"/>
      <c r="B802" s="227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>
      <c r="A803" s="227"/>
      <c r="B803" s="227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>
      <c r="A804" s="227"/>
      <c r="B804" s="227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>
      <c r="A805" s="227"/>
      <c r="B805" s="227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>
      <c r="A806" s="227"/>
      <c r="B806" s="227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>
      <c r="A807" s="227"/>
      <c r="B807" s="227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>
      <c r="A808" s="227"/>
      <c r="B808" s="227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>
      <c r="A809" s="227"/>
      <c r="B809" s="227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>
      <c r="A810" s="227"/>
      <c r="B810" s="227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>
      <c r="A811" s="227"/>
      <c r="B811" s="227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>
      <c r="A812" s="227"/>
      <c r="B812" s="227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>
      <c r="A813" s="227"/>
      <c r="B813" s="227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>
      <c r="A814" s="227"/>
      <c r="B814" s="227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>
      <c r="A815" s="227"/>
      <c r="B815" s="227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>
      <c r="A816" s="227"/>
      <c r="B816" s="227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>
      <c r="A817" s="227"/>
      <c r="B817" s="227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>
      <c r="A818" s="227"/>
      <c r="B818" s="227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>
      <c r="A819" s="227"/>
      <c r="B819" s="227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>
      <c r="A820" s="227"/>
      <c r="B820" s="227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>
      <c r="A821" s="227"/>
      <c r="B821" s="227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>
      <c r="A822" s="227"/>
      <c r="B822" s="227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>
      <c r="A823" s="227"/>
      <c r="B823" s="227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>
      <c r="A824" s="227"/>
      <c r="B824" s="227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>
      <c r="A825" s="227"/>
      <c r="B825" s="227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>
      <c r="A826" s="227"/>
      <c r="B826" s="227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>
      <c r="A827" s="227"/>
      <c r="B827" s="227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>
      <c r="A828" s="227"/>
      <c r="B828" s="227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>
      <c r="A829" s="227"/>
      <c r="B829" s="227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>
      <c r="A830" s="227"/>
      <c r="B830" s="227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>
      <c r="A831" s="227"/>
      <c r="B831" s="227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>
      <c r="A832" s="227"/>
      <c r="B832" s="227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>
      <c r="A833" s="227"/>
      <c r="B833" s="227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>
      <c r="A834" s="227"/>
      <c r="B834" s="227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>
      <c r="A835" s="227"/>
      <c r="B835" s="227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>
      <c r="A836" s="227"/>
      <c r="B836" s="227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>
      <c r="A837" s="227"/>
      <c r="B837" s="227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>
      <c r="A838" s="227"/>
      <c r="B838" s="227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>
      <c r="A839" s="227"/>
      <c r="B839" s="227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>
      <c r="A840" s="227"/>
      <c r="B840" s="227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>
      <c r="A841" s="227"/>
      <c r="B841" s="227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>
      <c r="A842" s="227"/>
      <c r="B842" s="227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>
      <c r="A843" s="227"/>
      <c r="B843" s="227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>
      <c r="A844" s="227"/>
      <c r="B844" s="227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>
      <c r="A845" s="227"/>
      <c r="B845" s="227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>
      <c r="A846" s="227"/>
      <c r="B846" s="227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>
      <c r="A847" s="227"/>
      <c r="B847" s="227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>
      <c r="A848" s="227"/>
      <c r="B848" s="227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>
      <c r="A849" s="227"/>
      <c r="B849" s="227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>
      <c r="A850" s="227"/>
      <c r="B850" s="227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>
      <c r="A851" s="227"/>
      <c r="B851" s="227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>
      <c r="A852" s="227"/>
      <c r="B852" s="227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>
      <c r="A853" s="227"/>
      <c r="B853" s="227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>
      <c r="A854" s="227"/>
      <c r="B854" s="227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>
      <c r="A855" s="227"/>
      <c r="B855" s="227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>
      <c r="A856" s="227"/>
      <c r="B856" s="227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>
      <c r="A857" s="227"/>
      <c r="B857" s="227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>
      <c r="A858" s="227"/>
      <c r="B858" s="227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>
      <c r="A859" s="227"/>
      <c r="B859" s="227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>
      <c r="A860" s="227"/>
      <c r="B860" s="227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>
      <c r="A861" s="227"/>
      <c r="B861" s="227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>
      <c r="A862" s="227"/>
      <c r="B862" s="227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>
      <c r="A863" s="227"/>
      <c r="B863" s="227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>
      <c r="A864" s="227"/>
      <c r="B864" s="227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>
      <c r="A865" s="227"/>
      <c r="B865" s="227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>
      <c r="A866" s="227"/>
      <c r="B866" s="227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>
      <c r="A867" s="227"/>
      <c r="B867" s="227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>
      <c r="A868" s="227"/>
      <c r="B868" s="227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>
      <c r="A869" s="227"/>
      <c r="B869" s="227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>
      <c r="A870" s="227"/>
      <c r="B870" s="227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>
      <c r="A871" s="227"/>
      <c r="B871" s="227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>
      <c r="A872" s="227"/>
      <c r="B872" s="227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>
      <c r="A873" s="227"/>
      <c r="B873" s="227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>
      <c r="A874" s="227"/>
      <c r="B874" s="227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>
      <c r="A875" s="227"/>
      <c r="B875" s="227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>
      <c r="A876" s="227"/>
      <c r="B876" s="227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>
      <c r="A877" s="227"/>
      <c r="B877" s="227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>
      <c r="A878" s="227"/>
      <c r="B878" s="227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>
      <c r="A879" s="227"/>
      <c r="B879" s="227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>
      <c r="A880" s="227"/>
      <c r="B880" s="227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>
      <c r="A881" s="227"/>
      <c r="B881" s="227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>
      <c r="A882" s="227"/>
      <c r="B882" s="227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>
      <c r="A883" s="227"/>
      <c r="B883" s="227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>
      <c r="A884" s="227"/>
      <c r="B884" s="227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>
      <c r="A885" s="227"/>
      <c r="B885" s="227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>
      <c r="A886" s="227"/>
      <c r="B886" s="227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>
      <c r="A887" s="227"/>
      <c r="B887" s="227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>
      <c r="A888" s="227"/>
      <c r="B888" s="227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>
      <c r="A889" s="227"/>
      <c r="B889" s="227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>
      <c r="A890" s="227"/>
      <c r="B890" s="227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>
      <c r="A891" s="227"/>
      <c r="B891" s="227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>
      <c r="A892" s="227"/>
      <c r="B892" s="227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>
      <c r="A893" s="227"/>
      <c r="B893" s="227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>
      <c r="A894" s="227"/>
      <c r="B894" s="227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>
      <c r="A895" s="227"/>
      <c r="B895" s="227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>
      <c r="A896" s="227"/>
      <c r="B896" s="227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>
      <c r="A897" s="227"/>
      <c r="B897" s="227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>
      <c r="A898" s="227"/>
      <c r="B898" s="227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>
      <c r="A899" s="227"/>
      <c r="B899" s="227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>
      <c r="A900" s="227"/>
      <c r="B900" s="227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>
      <c r="A901" s="227"/>
      <c r="B901" s="227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>
      <c r="A902" s="227"/>
      <c r="B902" s="227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>
      <c r="A903" s="227"/>
      <c r="B903" s="227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>
      <c r="A904" s="227"/>
      <c r="B904" s="227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>
      <c r="A905" s="227"/>
      <c r="B905" s="227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>
      <c r="A906" s="227"/>
      <c r="B906" s="227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>
      <c r="A907" s="227"/>
      <c r="B907" s="227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>
      <c r="A908" s="227"/>
      <c r="B908" s="227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>
      <c r="A909" s="227"/>
      <c r="B909" s="227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>
      <c r="A910" s="227"/>
      <c r="B910" s="227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>
      <c r="A911" s="227"/>
      <c r="B911" s="227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>
      <c r="A912" s="227"/>
      <c r="B912" s="227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>
      <c r="A913" s="227"/>
      <c r="B913" s="227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>
      <c r="A914" s="227"/>
      <c r="B914" s="227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>
      <c r="A915" s="227"/>
      <c r="B915" s="227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>
      <c r="A916" s="227"/>
      <c r="B916" s="227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>
      <c r="A917" s="227"/>
      <c r="B917" s="227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>
      <c r="A918" s="227"/>
      <c r="B918" s="227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>
      <c r="A919" s="227"/>
      <c r="B919" s="227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>
      <c r="A920" s="227"/>
      <c r="B920" s="227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>
      <c r="A921" s="227"/>
      <c r="B921" s="227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>
      <c r="A922" s="227"/>
      <c r="B922" s="227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>
      <c r="A923" s="227"/>
      <c r="B923" s="227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>
      <c r="A924" s="227"/>
      <c r="B924" s="227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>
      <c r="A925" s="227"/>
      <c r="B925" s="227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>
      <c r="A926" s="227"/>
      <c r="B926" s="227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>
      <c r="A927" s="227"/>
      <c r="B927" s="227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>
      <c r="A928" s="227"/>
      <c r="B928" s="227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>
      <c r="A929" s="227"/>
      <c r="B929" s="227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>
      <c r="A930" s="227"/>
      <c r="B930" s="227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>
      <c r="A931" s="227"/>
      <c r="B931" s="227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>
      <c r="A932" s="227"/>
      <c r="B932" s="227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>
      <c r="A933" s="227"/>
      <c r="B933" s="227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>
      <c r="A934" s="227"/>
      <c r="B934" s="227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>
      <c r="A935" s="227"/>
      <c r="B935" s="227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>
      <c r="A936" s="227"/>
      <c r="B936" s="227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>
      <c r="A937" s="227"/>
      <c r="B937" s="227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>
      <c r="A938" s="227"/>
      <c r="B938" s="227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>
      <c r="A939" s="227"/>
      <c r="B939" s="227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>
      <c r="A940" s="227"/>
      <c r="B940" s="227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>
      <c r="A941" s="227"/>
      <c r="B941" s="227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>
      <c r="A942" s="227"/>
      <c r="B942" s="227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>
      <c r="A943" s="227"/>
      <c r="B943" s="227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>
      <c r="A944" s="227"/>
      <c r="B944" s="227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>
      <c r="A945" s="227"/>
      <c r="B945" s="227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>
      <c r="A946" s="227"/>
      <c r="B946" s="227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>
      <c r="A947" s="227"/>
      <c r="B947" s="227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>
      <c r="A948" s="227"/>
      <c r="B948" s="227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>
      <c r="A949" s="227"/>
      <c r="B949" s="227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>
      <c r="A950" s="227"/>
      <c r="B950" s="227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>
      <c r="A951" s="227"/>
      <c r="B951" s="227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>
      <c r="A952" s="227"/>
      <c r="B952" s="227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>
      <c r="A953" s="227"/>
      <c r="B953" s="227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>
      <c r="A954" s="227"/>
      <c r="B954" s="227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>
      <c r="A955" s="227"/>
      <c r="B955" s="227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>
      <c r="A956" s="227"/>
      <c r="B956" s="227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>
      <c r="A957" s="227"/>
      <c r="B957" s="227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>
      <c r="A958" s="227"/>
      <c r="B958" s="227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>
      <c r="A959" s="227"/>
      <c r="B959" s="227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>
      <c r="A960" s="227"/>
      <c r="B960" s="227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>
      <c r="A961" s="227"/>
      <c r="B961" s="227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>
      <c r="A962" s="227"/>
      <c r="B962" s="227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>
      <c r="A963" s="227"/>
      <c r="B963" s="227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>
      <c r="A964" s="227"/>
      <c r="B964" s="227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>
      <c r="A965" s="227"/>
      <c r="B965" s="227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>
      <c r="A966" s="227"/>
      <c r="B966" s="227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>
      <c r="A967" s="227"/>
      <c r="B967" s="227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>
      <c r="A968" s="227"/>
      <c r="B968" s="227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>
      <c r="A969" s="227"/>
      <c r="B969" s="227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>
      <c r="A970" s="227"/>
      <c r="B970" s="227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>
      <c r="A971" s="227"/>
      <c r="B971" s="227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>
      <c r="A972" s="227"/>
      <c r="B972" s="227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>
      <c r="A973" s="227"/>
      <c r="B973" s="227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>
      <c r="A974" s="227"/>
      <c r="B974" s="227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>
      <c r="A975" s="227"/>
      <c r="B975" s="227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>
      <c r="A976" s="227"/>
      <c r="B976" s="227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>
      <c r="A977" s="227"/>
      <c r="B977" s="227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>
      <c r="A978" s="227"/>
      <c r="B978" s="227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>
      <c r="A979" s="227"/>
      <c r="B979" s="227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>
      <c r="A980" s="227"/>
      <c r="B980" s="227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>
      <c r="A981" s="227"/>
      <c r="B981" s="227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>
      <c r="A982" s="227"/>
      <c r="B982" s="227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>
      <c r="A983" s="227"/>
      <c r="B983" s="227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>
      <c r="A984" s="227"/>
      <c r="B984" s="227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>
      <c r="A985" s="227"/>
      <c r="B985" s="227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>
      <c r="A986" s="227"/>
      <c r="B986" s="227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>
      <c r="A987" s="227"/>
      <c r="B987" s="227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>
      <c r="A988" s="227"/>
      <c r="B988" s="227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>
      <c r="A989" s="227"/>
      <c r="B989" s="227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>
      <c r="A990" s="227"/>
      <c r="B990" s="227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>
      <c r="A991" s="227"/>
      <c r="B991" s="227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>
      <c r="A992" s="227"/>
      <c r="B992" s="227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>
      <c r="A993" s="227"/>
      <c r="B993" s="227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>
      <c r="A994" s="227"/>
      <c r="B994" s="227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>
      <c r="A995" s="227"/>
      <c r="B995" s="227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>
      <c r="A996" s="227"/>
      <c r="B996" s="227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>
      <c r="A997" s="227"/>
      <c r="B997" s="227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>
      <c r="A998" s="227"/>
      <c r="B998" s="227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>
      <c r="A999" s="227"/>
      <c r="B999" s="227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>
      <c r="A1000" s="227"/>
      <c r="B1000" s="227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>
      <c r="A1001" s="227"/>
      <c r="B1001" s="227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  <row r="1002">
      <c r="A1002" s="227"/>
      <c r="B1002" s="227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</row>
    <row r="1003">
      <c r="A1003" s="227"/>
      <c r="B1003" s="227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</row>
    <row r="1004">
      <c r="A1004" s="227"/>
      <c r="B1004" s="227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</row>
    <row r="1005">
      <c r="A1005" s="227"/>
      <c r="B1005" s="227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</row>
    <row r="1006">
      <c r="A1006" s="227"/>
      <c r="B1006" s="227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</row>
    <row r="1007">
      <c r="A1007" s="227"/>
      <c r="B1007" s="227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</row>
    <row r="1008">
      <c r="A1008" s="227"/>
      <c r="B1008" s="227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</row>
    <row r="1009">
      <c r="A1009" s="227"/>
      <c r="B1009" s="227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</row>
    <row r="1010">
      <c r="A1010" s="227"/>
      <c r="B1010" s="227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</row>
    <row r="1011">
      <c r="A1011" s="227"/>
      <c r="B1011" s="227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</row>
    <row r="1012">
      <c r="A1012" s="227"/>
      <c r="B1012" s="227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</row>
    <row r="1013">
      <c r="A1013" s="227"/>
      <c r="B1013" s="227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</row>
    <row r="1014">
      <c r="A1014" s="227"/>
      <c r="B1014" s="227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</row>
    <row r="1015">
      <c r="A1015" s="227"/>
      <c r="B1015" s="227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</row>
    <row r="1016">
      <c r="A1016" s="227"/>
      <c r="B1016" s="227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</row>
    <row r="1017">
      <c r="A1017" s="227"/>
      <c r="B1017" s="227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</row>
    <row r="1018">
      <c r="A1018" s="227"/>
      <c r="B1018" s="227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</row>
    <row r="1019">
      <c r="A1019" s="227"/>
      <c r="B1019" s="227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</row>
    <row r="1020">
      <c r="A1020" s="227"/>
      <c r="B1020" s="227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</row>
    <row r="1021">
      <c r="A1021" s="227"/>
      <c r="B1021" s="227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</row>
    <row r="1022">
      <c r="A1022" s="227"/>
      <c r="B1022" s="227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</row>
    <row r="1023">
      <c r="A1023" s="227"/>
      <c r="B1023" s="227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</row>
  </sheetData>
  <mergeCells count="19">
    <mergeCell ref="A1:AA2"/>
    <mergeCell ref="A4:A14"/>
    <mergeCell ref="B4:B14"/>
    <mergeCell ref="A15:A16"/>
    <mergeCell ref="B15:B16"/>
    <mergeCell ref="A17:A22"/>
    <mergeCell ref="B17:B22"/>
    <mergeCell ref="A41:A46"/>
    <mergeCell ref="A47:A52"/>
    <mergeCell ref="A54:A58"/>
    <mergeCell ref="B47:B52"/>
    <mergeCell ref="B54:B58"/>
    <mergeCell ref="A23:A28"/>
    <mergeCell ref="B23:B28"/>
    <mergeCell ref="A29:A34"/>
    <mergeCell ref="B29:B34"/>
    <mergeCell ref="A35:A40"/>
    <mergeCell ref="B35:B40"/>
    <mergeCell ref="B41:B46"/>
  </mergeCells>
  <dataValidations>
    <dataValidation type="list" allowBlank="1" sqref="D4:D52 D54:D58">
      <formula1>"ESTRATÉGICO,RESULTADO,PROCESSO,CONTRATUAL,CUSTO,CONTROLE"</formula1>
    </dataValidation>
  </dataValidations>
  <drawing r:id="rId1"/>
</worksheet>
</file>